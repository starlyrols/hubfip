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7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comments8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8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dentification" sheetId="1" state="visible" r:id="rId3"/>
    <sheet name="MU_Comptes" sheetId="2" state="visible" r:id="rId4"/>
    <sheet name="MU_Transactions" sheetId="3" state="visible" r:id="rId5"/>
    <sheet name="QS_Qualite" sheetId="4" state="visible" r:id="rId6"/>
    <sheet name="RD_Distribution" sheetId="5" state="visible" r:id="rId7"/>
    <sheet name="Points_de_service" sheetId="6" state="visible" r:id="rId8"/>
    <sheet name="CT_Tarifs" sheetId="7" state="visible" r:id="rId9"/>
    <sheet name="RC_Reclamations" sheetId="8" state="visible" r:id="rId10"/>
    <sheet name="Contrôl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ARCEP — M14</author>
  </authors>
  <commentList>
    <comment ref="B4" authorId="0">
      <text>
        <r>
          <rPr>
            <sz val="10"/>
            <rFont val="Arial"/>
            <family val="2"/>
          </rPr>
          <t xml:space="preserve">Raison sociale complète de l'assujetti.</t>
        </r>
      </text>
    </comment>
    <comment ref="B5" authorId="0">
      <text>
        <r>
          <rPr>
            <sz val="10"/>
            <rFont val="Arial"/>
            <family val="2"/>
          </rPr>
          <t xml:space="preserve">Identifiant attribué par l'ARCEP (référentiel des assujettis).</t>
        </r>
      </text>
    </comment>
    <comment ref="B6" authorId="0">
      <text>
        <r>
          <rPr>
            <sz val="10"/>
            <rFont val="Arial"/>
            <family val="2"/>
          </rPr>
          <t xml:space="preserve">Période couverte par la déclaration.</t>
        </r>
      </text>
    </comment>
    <comment ref="B7" authorId="0">
      <text>
        <r>
          <rPr>
            <sz val="10"/>
            <rFont val="Arial"/>
            <family val="2"/>
          </rPr>
          <t xml:space="preserve">Exemple — à remplacer.</t>
        </r>
      </text>
    </comment>
    <comment ref="B8" authorId="0">
      <text>
        <r>
          <rPr>
            <sz val="10"/>
            <rFont val="Arial"/>
            <family val="2"/>
          </rPr>
          <t xml:space="preserve">Exemple — à remplacer.</t>
        </r>
      </text>
    </comment>
    <comment ref="B9" authorId="0">
      <text>
        <r>
          <rPr>
            <sz val="10"/>
            <rFont val="Arial"/>
            <family val="2"/>
          </rPr>
          <t xml:space="preserve">Exemple — à remplacer.</t>
        </r>
      </text>
    </comment>
    <comment ref="B10" authorId="0">
      <text>
        <r>
          <rPr>
            <sz val="10"/>
            <rFont val="Arial"/>
            <family val="2"/>
          </rPr>
          <t xml:space="preserve">Exemple — à remplacer.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ARCEP — M14</author>
  </authors>
  <commentList>
    <comment ref="B5" authorId="0">
      <text>
        <r>
          <rPr>
            <sz val="10"/>
            <rFont val="Arial"/>
            <family val="2"/>
          </rPr>
          <t xml:space="preserve">Exemple — à remplacer.</t>
        </r>
      </text>
    </comment>
    <comment ref="C5" authorId="0">
      <text>
        <r>
          <rPr>
            <sz val="10"/>
            <rFont val="Arial"/>
            <family val="2"/>
          </rPr>
          <t xml:space="preserve">Exemple — à remplacer.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ARCEP — M14</author>
  </authors>
  <commentList>
    <comment ref="B5" authorId="0">
      <text>
        <r>
          <rPr>
            <sz val="10"/>
            <rFont val="Arial"/>
            <family val="2"/>
          </rPr>
          <t xml:space="preserve">Exemple — à remplacer.</t>
        </r>
      </text>
    </comment>
    <comment ref="B17" authorId="0">
      <text>
        <r>
          <rPr>
            <sz val="10"/>
            <rFont val="Arial"/>
            <family val="2"/>
          </rPr>
          <t xml:space="preserve">Exemple — à remplacer. La somme des canaux doit égaler le total des opérations (contrôle n°2).</t>
        </r>
      </text>
    </comment>
    <comment ref="C5" authorId="0">
      <text>
        <r>
          <rPr>
            <sz val="10"/>
            <rFont val="Arial"/>
            <family val="2"/>
          </rPr>
          <t xml:space="preserve">Exemple — à remplacer.</t>
        </r>
      </text>
    </comment>
    <comment ref="D5" authorId="0">
      <text>
        <r>
          <rPr>
            <sz val="10"/>
            <rFont val="Arial"/>
            <family val="2"/>
          </rPr>
          <t xml:space="preserve">Exemple — à remplacer.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ARCEP — M14</author>
  </authors>
  <commentList>
    <comment ref="B5" authorId="0">
      <text>
        <r>
          <rPr>
            <sz val="10"/>
            <rFont val="Arial"/>
            <family val="2"/>
          </rPr>
          <t xml:space="preserve">Exemple — saisir une fraction : 0,9945 = 99,45 %.</t>
        </r>
      </text>
    </comment>
    <comment ref="B6" authorId="0">
      <text>
        <r>
          <rPr>
            <sz val="10"/>
            <rFont val="Arial"/>
            <family val="2"/>
          </rPr>
          <t xml:space="preserve">Saisir une fraction : 0,995 = 99,5 %.</t>
        </r>
      </text>
    </comment>
    <comment ref="B7" authorId="0">
      <text>
        <r>
          <rPr>
            <sz val="10"/>
            <rFont val="Arial"/>
            <family val="2"/>
          </rPr>
          <t xml:space="preserve">Saisir une fraction : 0,995 = 99,5 %.</t>
        </r>
      </text>
    </comment>
    <comment ref="B8" authorId="0">
      <text>
        <r>
          <rPr>
            <sz val="10"/>
            <rFont val="Arial"/>
            <family val="2"/>
          </rPr>
          <t xml:space="preserve">Saisir une fraction : 0,995 = 99,5 %.</t>
        </r>
      </text>
    </comment>
    <comment ref="B9" authorId="0">
      <text>
        <r>
          <rPr>
            <sz val="10"/>
            <rFont val="Arial"/>
            <family val="2"/>
          </rPr>
          <t xml:space="preserve">Saisir une fraction : 0,995 = 99,5 %.</t>
        </r>
      </text>
    </comment>
    <comment ref="C5" authorId="0">
      <text>
        <r>
          <rPr>
            <sz val="10"/>
            <rFont val="Arial"/>
            <family val="2"/>
          </rPr>
          <t xml:space="preserve">Exemple — à remplacer.</t>
        </r>
      </text>
    </comment>
    <comment ref="D5" authorId="0">
      <text>
        <r>
          <rPr>
            <sz val="10"/>
            <rFont val="Arial"/>
            <family val="2"/>
          </rPr>
          <t xml:space="preserve">Exemple — à remplacer.</t>
        </r>
      </text>
    </comment>
    <comment ref="F5" authorId="0">
      <text>
        <r>
          <rPr>
            <sz val="10"/>
            <rFont val="Arial"/>
            <family val="2"/>
          </rPr>
          <t xml:space="preserve">Exemple — saisir une fraction.</t>
        </r>
      </text>
    </comment>
    <comment ref="F6" authorId="0">
      <text>
        <r>
          <rPr>
            <sz val="10"/>
            <rFont val="Arial"/>
            <family val="2"/>
          </rPr>
          <t xml:space="preserve">Saisir une fraction : 0,97 = 97 %.</t>
        </r>
      </text>
    </comment>
    <comment ref="F7" authorId="0">
      <text>
        <r>
          <rPr>
            <sz val="10"/>
            <rFont val="Arial"/>
            <family val="2"/>
          </rPr>
          <t xml:space="preserve">Saisir une fraction : 0,97 = 97 %.</t>
        </r>
      </text>
    </comment>
    <comment ref="F8" authorId="0">
      <text>
        <r>
          <rPr>
            <sz val="10"/>
            <rFont val="Arial"/>
            <family val="2"/>
          </rPr>
          <t xml:space="preserve">Saisir une fraction : 0,97 = 97 %.</t>
        </r>
      </text>
    </comment>
    <comment ref="F9" authorId="0">
      <text>
        <r>
          <rPr>
            <sz val="10"/>
            <rFont val="Arial"/>
            <family val="2"/>
          </rPr>
          <t xml:space="preserve">Saisir une fraction : 0,97 = 97 %.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ARCEP — M14</author>
  </authors>
  <commentList>
    <comment ref="B5" authorId="0">
      <text>
        <r>
          <rPr>
            <sz val="10"/>
            <rFont val="Arial"/>
            <family val="2"/>
          </rPr>
          <t xml:space="preserve">Exemple — à remplacer.</t>
        </r>
      </text>
    </comment>
    <comment ref="C5" authorId="0">
      <text>
        <r>
          <rPr>
            <sz val="10"/>
            <rFont val="Arial"/>
            <family val="2"/>
          </rPr>
          <t xml:space="preserve">Exemple — à remplacer.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ARCEP — M14</author>
  </authors>
  <commentList>
    <comment ref="A5" authorId="0">
      <text>
        <r>
          <rPr>
            <sz val="10"/>
            <rFont val="Arial"/>
            <family val="2"/>
          </rPr>
          <t xml:space="preserve">Ligne d'exemple — à remplacer par vos données.</t>
        </r>
      </text>
    </comment>
    <comment ref="B5" authorId="0">
      <text>
        <r>
          <rPr>
            <sz val="10"/>
            <rFont val="Arial"/>
            <family val="2"/>
          </rPr>
          <t xml:space="preserve">Ligne d'exemple — à remplacer par vos données.</t>
        </r>
      </text>
    </comment>
    <comment ref="C5" authorId="0">
      <text>
        <r>
          <rPr>
            <sz val="10"/>
            <rFont val="Arial"/>
            <family val="2"/>
          </rPr>
          <t xml:space="preserve">Ligne d'exemple — à remplacer par vos données.</t>
        </r>
      </text>
    </comment>
    <comment ref="D5" authorId="0">
      <text>
        <r>
          <rPr>
            <sz val="10"/>
            <rFont val="Arial"/>
            <family val="2"/>
          </rPr>
          <t xml:space="preserve">Ligne d'exemple — à remplacer par vos données.</t>
        </r>
      </text>
    </comment>
    <comment ref="E5" authorId="0">
      <text>
        <r>
          <rPr>
            <sz val="10"/>
            <rFont val="Arial"/>
            <family val="2"/>
          </rPr>
          <t xml:space="preserve">Ligne d'exemple — à remplacer par vos données.</t>
        </r>
      </text>
    </comment>
    <comment ref="F5" authorId="0">
      <text>
        <r>
          <rPr>
            <sz val="10"/>
            <rFont val="Arial"/>
            <family val="2"/>
          </rPr>
          <t xml:space="preserve">Ligne d'exemple — à remplacer par vos données.</t>
        </r>
      </text>
    </comment>
    <comment ref="G5" authorId="0">
      <text>
        <r>
          <rPr>
            <sz val="10"/>
            <rFont val="Arial"/>
            <family val="2"/>
          </rPr>
          <t xml:space="preserve">Ligne d'exemple — à remplacer par vos données.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ARCEP — M14</author>
  </authors>
  <commentList>
    <comment ref="A5" authorId="0">
      <text>
        <r>
          <rPr>
            <sz val="10"/>
            <rFont val="Arial"/>
            <family val="2"/>
          </rPr>
          <t xml:space="preserve">Ligne d'exemple — à remplacer.</t>
        </r>
      </text>
    </comment>
    <comment ref="B5" authorId="0">
      <text>
        <r>
          <rPr>
            <sz val="10"/>
            <rFont val="Arial"/>
            <family val="2"/>
          </rPr>
          <t xml:space="preserve">Ligne d'exemple — à remplacer.</t>
        </r>
      </text>
    </comment>
    <comment ref="C5" authorId="0">
      <text>
        <r>
          <rPr>
            <sz val="10"/>
            <rFont val="Arial"/>
            <family val="2"/>
          </rPr>
          <t xml:space="preserve">Ligne d'exemple — à remplacer.</t>
        </r>
      </text>
    </comment>
    <comment ref="D5" authorId="0">
      <text>
        <r>
          <rPr>
            <sz val="10"/>
            <rFont val="Arial"/>
            <family val="2"/>
          </rPr>
          <t xml:space="preserve">Ligne d'exemple — à remplacer.</t>
        </r>
      </text>
    </comment>
    <comment ref="E5" authorId="0">
      <text>
        <r>
          <rPr>
            <sz val="10"/>
            <rFont val="Arial"/>
            <family val="2"/>
          </rPr>
          <t xml:space="preserve">Ligne d'exemple — à remplacer.</t>
        </r>
      </text>
    </comment>
    <comment ref="F5" authorId="0">
      <text>
        <r>
          <rPr>
            <sz val="10"/>
            <rFont val="Arial"/>
            <family val="2"/>
          </rPr>
          <t xml:space="preserve">Ligne d'exemple — à remplacer.</t>
        </r>
      </text>
    </comment>
    <comment ref="G5" authorId="0">
      <text>
        <r>
          <rPr>
            <sz val="10"/>
            <rFont val="Arial"/>
            <family val="2"/>
          </rPr>
          <t xml:space="preserve">Ligne d'exemple — à remplacer.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ARCEP — M14</author>
  </authors>
  <commentList>
    <comment ref="B5" authorId="0">
      <text>
        <r>
          <rPr>
            <sz val="10"/>
            <rFont val="Arial"/>
            <family val="2"/>
          </rPr>
          <t xml:space="preserve">Exemple — à remplacer.</t>
        </r>
      </text>
    </comment>
  </commentList>
</comments>
</file>

<file path=xl/sharedStrings.xml><?xml version="1.0" encoding="utf-8"?>
<sst xmlns="http://schemas.openxmlformats.org/spreadsheetml/2006/main" count="147" uniqueCount="124">
  <si>
    <t xml:space="preserve">ARCEP Gabon — Module M14 · Gabarit de collecte N0 (OP-MM · mensuel)</t>
  </si>
  <si>
    <t xml:space="preserve">Document opposable — décision ARCEP fixant les gabarits (REF-06). Niveau N0 : données déclarées.</t>
  </si>
  <si>
    <t xml:space="preserve">Opérateur / EME</t>
  </si>
  <si>
    <t xml:space="preserve">Exemple SA</t>
  </si>
  <si>
    <t xml:space="preserve">Identifiant ARCEP</t>
  </si>
  <si>
    <t xml:space="preserve">GA-OP-000</t>
  </si>
  <si>
    <t xml:space="preserve">Période déclarée (mois, AAAA-MM)</t>
  </si>
  <si>
    <t xml:space="preserve">2026-07</t>
  </si>
  <si>
    <t xml:space="preserve">Date de dépôt (AAAA-MM-JJ)</t>
  </si>
  <si>
    <t xml:space="preserve">2026-08-15</t>
  </si>
  <si>
    <t xml:space="preserve">Nom et fonction du déclarant</t>
  </si>
  <si>
    <t xml:space="preserve">A. NDONG — Directeur régulation</t>
  </si>
  <si>
    <t xml:space="preserve">Courriel du déclarant</t>
  </si>
  <si>
    <t xml:space="preserve">declarant@exemple.ga</t>
  </si>
  <si>
    <t xml:space="preserve">Téléphone du déclarant</t>
  </si>
  <si>
    <t xml:space="preserve">+241 06 00 00 00</t>
  </si>
  <si>
    <t xml:space="preserve">Rappels réglementaires :</t>
  </si>
  <si>
    <t xml:space="preserve">• Le dépôt s'effectue sur le portail ARCEP (SSO) accompagné du manifeste signé (hash SHA-256 du fichier) — EX-L2-01.</t>
  </si>
  <si>
    <t xml:space="preserve">• Toute cellule jaune non renseignée doit être justifiée en commentaire ; un lot incomplet peut être rejeté (EX-L2-02).</t>
  </si>
  <si>
    <t xml:space="preserve">• Les valeurs déclarées portent le drapeau « déclaré » et sont recoupées par les mesures indépendantes de l'ARCEP (N3) ;</t>
  </si>
  <si>
    <t xml:space="preserve">• tout écart au-delà des seuils du dictionnaire L4 déclenche la procédure contradictoire (L3.5 / L10).</t>
  </si>
  <si>
    <t xml:space="preserve">• Aucune donnée nominative ne doit figurer dans ce gabarit (loi n°001/2011).</t>
  </si>
  <si>
    <t xml:space="preserve">Légende :</t>
  </si>
  <si>
    <t xml:space="preserve">Cellule JAUNE : à renseigner par le déclarant.</t>
  </si>
  <si>
    <t xml:space="preserve">Cellule ORANGÉE : exemple de format — à remplacer par vos valeurs réelles.</t>
  </si>
  <si>
    <t xml:space="preserve">Cellule BLEUE : calcul automatique — ne pas modifier.</t>
  </si>
  <si>
    <t xml:space="preserve">Comptes DFS par province — indicateurs MU-01 / MU-02</t>
  </si>
  <si>
    <t xml:space="preserve">MU-01 : comptes enregistrés (cumul fin de période). MU-02 : comptes avec ≥ 1 opération sur 90 jours.</t>
  </si>
  <si>
    <t xml:space="preserve">Province</t>
  </si>
  <si>
    <t xml:space="preserve">Comptes enregistrés (cumul)</t>
  </si>
  <si>
    <t xml:space="preserve">Comptes actifs 90 jours</t>
  </si>
  <si>
    <t xml:space="preserve">Estuaire</t>
  </si>
  <si>
    <t xml:space="preserve">Haut-Ogooué</t>
  </si>
  <si>
    <t xml:space="preserve">Moyen-Ogooué</t>
  </si>
  <si>
    <t xml:space="preserve">Ngounié</t>
  </si>
  <si>
    <t xml:space="preserve">Nyanga</t>
  </si>
  <si>
    <t xml:space="preserve">Ogooué-Ivindo</t>
  </si>
  <si>
    <t xml:space="preserve">Ogooué-Lolo</t>
  </si>
  <si>
    <t xml:space="preserve">Ogooué-Maritime</t>
  </si>
  <si>
    <t xml:space="preserve">Woleu-Ntem</t>
  </si>
  <si>
    <t xml:space="preserve">TOTAL NATIONAL</t>
  </si>
  <si>
    <t xml:space="preserve">Transactions par type — indicateurs MU-03 / MU-04 / MU-06</t>
  </si>
  <si>
    <t xml:space="preserve">Nombre et valeur (XAF) des opérations abouties sur la période. P2P inter-réseaux = MU-06.</t>
  </si>
  <si>
    <t xml:space="preserve">Type d'opération</t>
  </si>
  <si>
    <t xml:space="preserve">Nombre d'opérations</t>
  </si>
  <si>
    <t xml:space="preserve">Valeur totale (XAF)</t>
  </si>
  <si>
    <t xml:space="preserve">Frais clients perçus (XAF) — CT-04</t>
  </si>
  <si>
    <t xml:space="preserve">Dépôt (cash-in)</t>
  </si>
  <si>
    <t xml:space="preserve">Retrait (cash-out)</t>
  </si>
  <si>
    <t xml:space="preserve">P2P intra-réseau</t>
  </si>
  <si>
    <t xml:space="preserve">P2P inter-réseaux</t>
  </si>
  <si>
    <t xml:space="preserve">Paiement marchand</t>
  </si>
  <si>
    <t xml:space="preserve">Paiement de facture</t>
  </si>
  <si>
    <t xml:space="preserve">Recharge de crédit</t>
  </si>
  <si>
    <t xml:space="preserve">Transfert international</t>
  </si>
  <si>
    <t xml:space="preserve">TOTAL</t>
  </si>
  <si>
    <t xml:space="preserve">Répartition par canal d'initiation — indicateur MU-08 (nombre d'opérations)</t>
  </si>
  <si>
    <t xml:space="preserve">Canal</t>
  </si>
  <si>
    <t xml:space="preserve">USSD</t>
  </si>
  <si>
    <t xml:space="preserve">STK (SIM Toolkit)</t>
  </si>
  <si>
    <t xml:space="preserve">Application mobile</t>
  </si>
  <si>
    <t xml:space="preserve">API (PSP tiers)</t>
  </si>
  <si>
    <t xml:space="preserve">SMS</t>
  </si>
  <si>
    <t xml:space="preserve">TOTAL (doit égaler le total des opérations)</t>
  </si>
  <si>
    <t xml:space="preserve">Qualité et disponibilité déclarées par canal — QS-01 (déclaré) / QS-09 / QS-10</t>
  </si>
  <si>
    <t xml:space="preserve">Ces valeurs déclarées sont comparées aux mesures indépendantes (QS-11) ; écart &gt; 1 point → contradictoire.</t>
  </si>
  <si>
    <t xml:space="preserve">Disponibilité déclarée (%)</t>
  </si>
  <si>
    <t xml:space="preserve">Nb incidents majeurs (indispo &gt; 30 min)</t>
  </si>
  <si>
    <t xml:space="preserve">Durée cumulée d'indisponibilité (minutes)</t>
  </si>
  <si>
    <t xml:space="preserve">MTTR (minutes) — calcul</t>
  </si>
  <si>
    <t xml:space="preserve">Taux de succès transactionnel déclaré (%)</t>
  </si>
  <si>
    <t xml:space="preserve">Réseau de distribution par province — RD-01</t>
  </si>
  <si>
    <t xml:space="preserve">Point actif = ≥ 1 opération sur les 30 derniers jours. Le registre géolocalisé détaillé est déposé dans l'onglet Points_de_service.</t>
  </si>
  <si>
    <t xml:space="preserve">Points de service déclarés</t>
  </si>
  <si>
    <t xml:space="preserve">Points de service actifs (30 j)</t>
  </si>
  <si>
    <t xml:space="preserve">Registre géolocalisé des points de service — support de RD-03 et de l'échantillonnage des campagnes mystères</t>
  </si>
  <si>
    <t xml:space="preserve">Une ligne par point. Identifiant professionnel uniquement — aucune donnée nominative (pas de nom de personne physique).</t>
  </si>
  <si>
    <t xml:space="preserve">Identifiant point (interne opérateur)</t>
  </si>
  <si>
    <t xml:space="preserve">Ville / localité</t>
  </si>
  <si>
    <t xml:space="preserve">Latitude (degrés décimaux)</t>
  </si>
  <si>
    <t xml:space="preserve">Longitude (degrés décimaux)</t>
  </si>
  <si>
    <t xml:space="preserve">Statut (ACTIF / INACTIF)</t>
  </si>
  <si>
    <t xml:space="preserve">Date de dernière activité (AAAA-MM-JJ)</t>
  </si>
  <si>
    <t xml:space="preserve">AGT-LBV-00421</t>
  </si>
  <si>
    <t xml:space="preserve">Libreville — Nzeng-Ayong</t>
  </si>
  <si>
    <t xml:space="preserve">ACTIF</t>
  </si>
  <si>
    <t xml:space="preserve">2026-07-28</t>
  </si>
  <si>
    <t xml:space="preserve">… ajouter autant de lignes que de points de service (ou joindre un CSV au même schéma).</t>
  </si>
  <si>
    <t xml:space="preserve">Grille tarifaire en vigueur — CT-01 (et base de contrôle CT-02)</t>
  </si>
  <si>
    <t xml:space="preserve">La grille déposée fait foi pour le contrôle des frais réellement appliqués (mesures N3). Tout écart constaté ouvre un contradictoire (tolérance zéro).</t>
  </si>
  <si>
    <t xml:space="preserve">Palier — montant min (XAF)</t>
  </si>
  <si>
    <t xml:space="preserve">Palier — montant max (XAF)</t>
  </si>
  <si>
    <t xml:space="preserve">Frais fixes (XAF)</t>
  </si>
  <si>
    <t xml:space="preserve">Frais proportionnels (%)</t>
  </si>
  <si>
    <t xml:space="preserve">Date d'application (AAAA-MM-JJ)</t>
  </si>
  <si>
    <t xml:space="preserve">Date de dépôt à l'ARCEP (AAAA-MM-JJ)</t>
  </si>
  <si>
    <t xml:space="preserve">2026-01-01</t>
  </si>
  <si>
    <t xml:space="preserve">2025-12-10</t>
  </si>
  <si>
    <t xml:space="preserve">… une ligne par type et par palier. Les frais proportionnels sont saisis en fraction (0,01 = 1 %).</t>
  </si>
  <si>
    <t xml:space="preserve">Réclamations consommateurs par motif — RC-01 / RC-02 / RC-03 / RC-04</t>
  </si>
  <si>
    <t xml:space="preserve">Réclamations DFS reçues par vos canaux de service client sur la période.</t>
  </si>
  <si>
    <t xml:space="preserve">Motif</t>
  </si>
  <si>
    <t xml:space="preserve">Reçues</t>
  </si>
  <si>
    <t xml:space="preserve">Closes</t>
  </si>
  <si>
    <t xml:space="preserve">Délai médian de traitement (jours)</t>
  </si>
  <si>
    <t xml:space="preserve">Closes au premier contact</t>
  </si>
  <si>
    <t xml:space="preserve">Escaladées à l'ARCEP</t>
  </si>
  <si>
    <t xml:space="preserve">Transaction échouée non remboursée</t>
  </si>
  <si>
    <t xml:space="preserve">Frais contestés</t>
  </si>
  <si>
    <t xml:space="preserve">Accès au compte / fraude alléguée</t>
  </si>
  <si>
    <t xml:space="preserve">Agent / point de service</t>
  </si>
  <si>
    <t xml:space="preserve">Qualité du canal (USSD, application)</t>
  </si>
  <si>
    <t xml:space="preserve">Autre</t>
  </si>
  <si>
    <t xml:space="preserve">Contrôles de cohérence automatiques</t>
  </si>
  <si>
    <t xml:space="preserve">Tous les contrôles doivent afficher OK avant dépôt. Ne rien saisir dans cette feuille.</t>
  </si>
  <si>
    <t xml:space="preserve">Contrôle</t>
  </si>
  <si>
    <t xml:space="preserve">Résultat</t>
  </si>
  <si>
    <t xml:space="preserve">Comptes actifs ≤ comptes enregistrés, pour chaque province (MU_Comptes)</t>
  </si>
  <si>
    <t xml:space="preserve">Répartition par canal (MU-08) = total des opérations (MU-03)</t>
  </si>
  <si>
    <t xml:space="preserve">Disponibilités déclarées comprises entre 90 % et 100 % (QS_Qualite)</t>
  </si>
  <si>
    <t xml:space="preserve">Points actifs ≤ points déclarés, pour chaque province (RD_Distribution)</t>
  </si>
  <si>
    <t xml:space="preserve">Réclamations closes ≤ reçues, pour chaque motif (RC_Reclamations)</t>
  </si>
  <si>
    <t xml:space="preserve">Closes au premier contact ≤ closes, pour chaque motif (RC_Reclamations)</t>
  </si>
  <si>
    <t xml:space="preserve">SYNTHÈSE — le gabarit est-il cohérent ?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</si>
</sst>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\ %"/>
    <numFmt numFmtId="167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CCFFFF"/>
      </patternFill>
    </fill>
    <fill>
      <patternFill patternType="solid">
        <fgColor rgb="FF2F5496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2" customFormat="false" ht="15" hidden="false" customHeight="false" outlineLevel="0" collapsed="false">
      <c r="A12" s="3" t="s">
        <v>16</v>
      </c>
    </row>
    <row r="13" customFormat="false" ht="23.85" hidden="false" customHeight="true" outlineLevel="0" collapsed="false">
      <c r="A13" s="5" t="s">
        <v>17</v>
      </c>
      <c r="B13" s="5"/>
    </row>
    <row r="14" customFormat="false" ht="23.85" hidden="false" customHeight="true" outlineLevel="0" collapsed="false">
      <c r="A14" s="5" t="s">
        <v>18</v>
      </c>
      <c r="B14" s="5"/>
    </row>
    <row r="15" customFormat="false" ht="23.85" hidden="false" customHeight="true" outlineLevel="0" collapsed="false">
      <c r="A15" s="5" t="s">
        <v>19</v>
      </c>
      <c r="B15" s="5"/>
    </row>
    <row r="16" customFormat="false" ht="15" hidden="false" customHeight="true" outlineLevel="0" collapsed="false">
      <c r="A16" s="5" t="s">
        <v>20</v>
      </c>
      <c r="B16" s="5"/>
    </row>
    <row r="17" customFormat="false" ht="15" hidden="false" customHeight="true" outlineLevel="0" collapsed="false">
      <c r="A17" s="5" t="s">
        <v>21</v>
      </c>
      <c r="B17" s="5"/>
    </row>
    <row r="19" customFormat="false" ht="15" hidden="false" customHeight="false" outlineLevel="0" collapsed="false">
      <c r="A19" s="3" t="s">
        <v>22</v>
      </c>
    </row>
    <row r="20" customFormat="false" ht="15" hidden="false" customHeight="false" outlineLevel="0" collapsed="false">
      <c r="A20" s="6"/>
      <c r="B20" s="5" t="s">
        <v>23</v>
      </c>
    </row>
    <row r="21" customFormat="false" ht="23.85" hidden="false" customHeight="false" outlineLevel="0" collapsed="false">
      <c r="A21" s="7"/>
      <c r="B21" s="5" t="s">
        <v>24</v>
      </c>
    </row>
    <row r="22" customFormat="false" ht="15" hidden="false" customHeight="false" outlineLevel="0" collapsed="false">
      <c r="A22" s="8"/>
      <c r="B22" s="5" t="s">
        <v>25</v>
      </c>
    </row>
  </sheetData>
  <mergeCells count="5">
    <mergeCell ref="A13:B13"/>
    <mergeCell ref="A14:B14"/>
    <mergeCell ref="A15:B15"/>
    <mergeCell ref="A16:B16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26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26.85" hidden="false" customHeight="false" outlineLevel="0" collapsed="false">
      <c r="A4" s="9" t="s">
        <v>28</v>
      </c>
      <c r="B4" s="9" t="s">
        <v>29</v>
      </c>
      <c r="C4" s="9" t="s">
        <v>30</v>
      </c>
    </row>
    <row r="5" customFormat="false" ht="15" hidden="false" customHeight="false" outlineLevel="0" collapsed="false">
      <c r="A5" s="5" t="s">
        <v>31</v>
      </c>
      <c r="B5" s="10" t="n">
        <v>512340</v>
      </c>
      <c r="C5" s="10" t="n">
        <v>287100</v>
      </c>
    </row>
    <row r="6" customFormat="false" ht="15" hidden="false" customHeight="false" outlineLevel="0" collapsed="false">
      <c r="A6" s="5" t="s">
        <v>32</v>
      </c>
      <c r="B6" s="11"/>
      <c r="C6" s="11"/>
    </row>
    <row r="7" customFormat="false" ht="15" hidden="false" customHeight="false" outlineLevel="0" collapsed="false">
      <c r="A7" s="5" t="s">
        <v>33</v>
      </c>
      <c r="B7" s="11"/>
      <c r="C7" s="11"/>
    </row>
    <row r="8" customFormat="false" ht="15" hidden="false" customHeight="false" outlineLevel="0" collapsed="false">
      <c r="A8" s="5" t="s">
        <v>34</v>
      </c>
      <c r="B8" s="11"/>
      <c r="C8" s="11"/>
    </row>
    <row r="9" customFormat="false" ht="15" hidden="false" customHeight="false" outlineLevel="0" collapsed="false">
      <c r="A9" s="5" t="s">
        <v>35</v>
      </c>
      <c r="B9" s="11"/>
      <c r="C9" s="11"/>
    </row>
    <row r="10" customFormat="false" ht="15" hidden="false" customHeight="false" outlineLevel="0" collapsed="false">
      <c r="A10" s="5" t="s">
        <v>36</v>
      </c>
      <c r="B10" s="11"/>
      <c r="C10" s="11"/>
    </row>
    <row r="11" customFormat="false" ht="15" hidden="false" customHeight="false" outlineLevel="0" collapsed="false">
      <c r="A11" s="5" t="s">
        <v>37</v>
      </c>
      <c r="B11" s="11"/>
      <c r="C11" s="11"/>
    </row>
    <row r="12" customFormat="false" ht="15" hidden="false" customHeight="false" outlineLevel="0" collapsed="false">
      <c r="A12" s="5" t="s">
        <v>38</v>
      </c>
      <c r="B12" s="11"/>
      <c r="C12" s="11"/>
    </row>
    <row r="13" customFormat="false" ht="15" hidden="false" customHeight="false" outlineLevel="0" collapsed="false">
      <c r="A13" s="5" t="s">
        <v>39</v>
      </c>
      <c r="B13" s="11"/>
      <c r="C13" s="11"/>
    </row>
    <row r="14" customFormat="false" ht="15" hidden="false" customHeight="false" outlineLevel="0" collapsed="false">
      <c r="A14" s="3" t="s">
        <v>40</v>
      </c>
      <c r="B14" s="12" t="n">
        <f aca="false">SUM(B5:B13)</f>
        <v>512340</v>
      </c>
      <c r="C14" s="12" t="n">
        <f aca="false">SUM(C5:C13)</f>
        <v>287100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26.85" hidden="false" customHeight="false" outlineLevel="0" collapsed="false">
      <c r="A4" s="9" t="s">
        <v>43</v>
      </c>
      <c r="B4" s="9" t="s">
        <v>44</v>
      </c>
      <c r="C4" s="9" t="s">
        <v>45</v>
      </c>
      <c r="D4" s="9" t="s">
        <v>46</v>
      </c>
    </row>
    <row r="5" customFormat="false" ht="15" hidden="false" customHeight="false" outlineLevel="0" collapsed="false">
      <c r="A5" s="5" t="s">
        <v>47</v>
      </c>
      <c r="B5" s="10" t="n">
        <v>1250000</v>
      </c>
      <c r="C5" s="10" t="n">
        <v>18750000000</v>
      </c>
      <c r="D5" s="10" t="n">
        <v>187500000</v>
      </c>
    </row>
    <row r="6" customFormat="false" ht="15" hidden="false" customHeight="false" outlineLevel="0" collapsed="false">
      <c r="A6" s="5" t="s">
        <v>48</v>
      </c>
      <c r="B6" s="11"/>
      <c r="C6" s="11"/>
      <c r="D6" s="11"/>
    </row>
    <row r="7" customFormat="false" ht="15" hidden="false" customHeight="false" outlineLevel="0" collapsed="false">
      <c r="A7" s="5" t="s">
        <v>49</v>
      </c>
      <c r="B7" s="11"/>
      <c r="C7" s="11"/>
      <c r="D7" s="11"/>
    </row>
    <row r="8" customFormat="false" ht="15" hidden="false" customHeight="false" outlineLevel="0" collapsed="false">
      <c r="A8" s="5" t="s">
        <v>50</v>
      </c>
      <c r="B8" s="11"/>
      <c r="C8" s="11"/>
      <c r="D8" s="11"/>
    </row>
    <row r="9" customFormat="false" ht="15" hidden="false" customHeight="false" outlineLevel="0" collapsed="false">
      <c r="A9" s="5" t="s">
        <v>51</v>
      </c>
      <c r="B9" s="11"/>
      <c r="C9" s="11"/>
      <c r="D9" s="11"/>
    </row>
    <row r="10" customFormat="false" ht="15" hidden="false" customHeight="false" outlineLevel="0" collapsed="false">
      <c r="A10" s="5" t="s">
        <v>52</v>
      </c>
      <c r="B10" s="11"/>
      <c r="C10" s="11"/>
      <c r="D10" s="11"/>
    </row>
    <row r="11" customFormat="false" ht="15" hidden="false" customHeight="false" outlineLevel="0" collapsed="false">
      <c r="A11" s="5" t="s">
        <v>53</v>
      </c>
      <c r="B11" s="11"/>
      <c r="C11" s="11"/>
      <c r="D11" s="11"/>
    </row>
    <row r="12" customFormat="false" ht="15" hidden="false" customHeight="false" outlineLevel="0" collapsed="false">
      <c r="A12" s="5" t="s">
        <v>54</v>
      </c>
      <c r="B12" s="11"/>
      <c r="C12" s="11"/>
      <c r="D12" s="11"/>
    </row>
    <row r="13" customFormat="false" ht="15" hidden="false" customHeight="false" outlineLevel="0" collapsed="false">
      <c r="A13" s="3" t="s">
        <v>55</v>
      </c>
      <c r="B13" s="12" t="n">
        <f aca="false">SUM(B5:B12)</f>
        <v>1250000</v>
      </c>
      <c r="C13" s="12" t="n">
        <f aca="false">SUM(C5:C12)</f>
        <v>18750000000</v>
      </c>
      <c r="D13" s="12" t="n">
        <f aca="false">SUM(D5:D12)</f>
        <v>187500000</v>
      </c>
    </row>
    <row r="15" customFormat="false" ht="35.05" hidden="false" customHeight="false" outlineLevel="0" collapsed="false">
      <c r="A15" s="3" t="s">
        <v>56</v>
      </c>
    </row>
    <row r="16" customFormat="false" ht="15" hidden="false" customHeight="false" outlineLevel="0" collapsed="false">
      <c r="A16" s="9" t="s">
        <v>57</v>
      </c>
      <c r="B16" s="9" t="s">
        <v>44</v>
      </c>
    </row>
    <row r="17" customFormat="false" ht="15" hidden="false" customHeight="false" outlineLevel="0" collapsed="false">
      <c r="A17" s="5" t="s">
        <v>58</v>
      </c>
      <c r="B17" s="10" t="n">
        <v>1250000</v>
      </c>
    </row>
    <row r="18" customFormat="false" ht="15" hidden="false" customHeight="false" outlineLevel="0" collapsed="false">
      <c r="A18" s="5" t="s">
        <v>59</v>
      </c>
      <c r="B18" s="11"/>
    </row>
    <row r="19" customFormat="false" ht="15" hidden="false" customHeight="false" outlineLevel="0" collapsed="false">
      <c r="A19" s="5" t="s">
        <v>60</v>
      </c>
      <c r="B19" s="11"/>
    </row>
    <row r="20" customFormat="false" ht="15" hidden="false" customHeight="false" outlineLevel="0" collapsed="false">
      <c r="A20" s="5" t="s">
        <v>61</v>
      </c>
      <c r="B20" s="11"/>
    </row>
    <row r="21" customFormat="false" ht="15" hidden="false" customHeight="false" outlineLevel="0" collapsed="false">
      <c r="A21" s="5" t="s">
        <v>62</v>
      </c>
      <c r="B21" s="11"/>
    </row>
    <row r="22" customFormat="false" ht="23.85" hidden="false" customHeight="false" outlineLevel="0" collapsed="false">
      <c r="A22" s="3" t="s">
        <v>63</v>
      </c>
      <c r="B22" s="12" t="n">
        <f aca="false">SUM(B17:B21)</f>
        <v>1250000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39.55" hidden="false" customHeight="false" outlineLevel="0" collapsed="false">
      <c r="A4" s="9" t="s">
        <v>57</v>
      </c>
      <c r="B4" s="9" t="s">
        <v>66</v>
      </c>
      <c r="C4" s="9" t="s">
        <v>67</v>
      </c>
      <c r="D4" s="9" t="s">
        <v>68</v>
      </c>
      <c r="E4" s="9" t="s">
        <v>69</v>
      </c>
      <c r="F4" s="9" t="s">
        <v>70</v>
      </c>
    </row>
    <row r="5" customFormat="false" ht="15" hidden="false" customHeight="false" outlineLevel="0" collapsed="false">
      <c r="A5" s="5" t="s">
        <v>58</v>
      </c>
      <c r="B5" s="13" t="n">
        <v>0.9945</v>
      </c>
      <c r="C5" s="10" t="n">
        <v>2</v>
      </c>
      <c r="D5" s="10" t="n">
        <v>145</v>
      </c>
      <c r="E5" s="14" t="n">
        <f aca="false">IF(N(C5)=0,"—",D5/C5)</f>
        <v>72.5</v>
      </c>
      <c r="F5" s="13" t="n">
        <v>0.972</v>
      </c>
    </row>
    <row r="6" customFormat="false" ht="15" hidden="false" customHeight="false" outlineLevel="0" collapsed="false">
      <c r="A6" s="5" t="s">
        <v>59</v>
      </c>
      <c r="B6" s="15"/>
      <c r="C6" s="11"/>
      <c r="D6" s="11"/>
      <c r="E6" s="14" t="str">
        <f aca="false">IF(N(C6)=0,"—",D6/C6)</f>
        <v>—</v>
      </c>
      <c r="F6" s="15"/>
    </row>
    <row r="7" customFormat="false" ht="15" hidden="false" customHeight="false" outlineLevel="0" collapsed="false">
      <c r="A7" s="5" t="s">
        <v>60</v>
      </c>
      <c r="B7" s="15"/>
      <c r="C7" s="11"/>
      <c r="D7" s="11"/>
      <c r="E7" s="14" t="str">
        <f aca="false">IF(N(C7)=0,"—",D7/C7)</f>
        <v>—</v>
      </c>
      <c r="F7" s="15"/>
    </row>
    <row r="8" customFormat="false" ht="15" hidden="false" customHeight="false" outlineLevel="0" collapsed="false">
      <c r="A8" s="5" t="s">
        <v>61</v>
      </c>
      <c r="B8" s="15"/>
      <c r="C8" s="11"/>
      <c r="D8" s="11"/>
      <c r="E8" s="14" t="str">
        <f aca="false">IF(N(C8)=0,"—",D8/C8)</f>
        <v>—</v>
      </c>
      <c r="F8" s="15"/>
    </row>
    <row r="9" customFormat="false" ht="15" hidden="false" customHeight="false" outlineLevel="0" collapsed="false">
      <c r="A9" s="5" t="s">
        <v>62</v>
      </c>
      <c r="B9" s="15"/>
      <c r="C9" s="11"/>
      <c r="D9" s="11"/>
      <c r="E9" s="14" t="str">
        <f aca="false">IF(N(C9)=0,"—",D9/C9)</f>
        <v>—</v>
      </c>
      <c r="F9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28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26.85" hidden="false" customHeight="false" outlineLevel="0" collapsed="false">
      <c r="A4" s="9" t="s">
        <v>28</v>
      </c>
      <c r="B4" s="9" t="s">
        <v>73</v>
      </c>
      <c r="C4" s="9" t="s">
        <v>74</v>
      </c>
    </row>
    <row r="5" customFormat="false" ht="15" hidden="false" customHeight="false" outlineLevel="0" collapsed="false">
      <c r="A5" s="5" t="s">
        <v>31</v>
      </c>
      <c r="B5" s="10" t="n">
        <v>2140</v>
      </c>
      <c r="C5" s="10" t="n">
        <v>1830</v>
      </c>
    </row>
    <row r="6" customFormat="false" ht="15" hidden="false" customHeight="false" outlineLevel="0" collapsed="false">
      <c r="A6" s="5" t="s">
        <v>32</v>
      </c>
      <c r="B6" s="11"/>
      <c r="C6" s="11"/>
    </row>
    <row r="7" customFormat="false" ht="15" hidden="false" customHeight="false" outlineLevel="0" collapsed="false">
      <c r="A7" s="5" t="s">
        <v>33</v>
      </c>
      <c r="B7" s="11"/>
      <c r="C7" s="11"/>
    </row>
    <row r="8" customFormat="false" ht="15" hidden="false" customHeight="false" outlineLevel="0" collapsed="false">
      <c r="A8" s="5" t="s">
        <v>34</v>
      </c>
      <c r="B8" s="11"/>
      <c r="C8" s="11"/>
    </row>
    <row r="9" customFormat="false" ht="15" hidden="false" customHeight="false" outlineLevel="0" collapsed="false">
      <c r="A9" s="5" t="s">
        <v>35</v>
      </c>
      <c r="B9" s="11"/>
      <c r="C9" s="11"/>
    </row>
    <row r="10" customFormat="false" ht="15" hidden="false" customHeight="false" outlineLevel="0" collapsed="false">
      <c r="A10" s="5" t="s">
        <v>36</v>
      </c>
      <c r="B10" s="11"/>
      <c r="C10" s="11"/>
    </row>
    <row r="11" customFormat="false" ht="15" hidden="false" customHeight="false" outlineLevel="0" collapsed="false">
      <c r="A11" s="5" t="s">
        <v>37</v>
      </c>
      <c r="B11" s="11"/>
      <c r="C11" s="11"/>
    </row>
    <row r="12" customFormat="false" ht="15" hidden="false" customHeight="false" outlineLevel="0" collapsed="false">
      <c r="A12" s="5" t="s">
        <v>38</v>
      </c>
      <c r="B12" s="11"/>
      <c r="C12" s="11"/>
    </row>
    <row r="13" customFormat="false" ht="15" hidden="false" customHeight="false" outlineLevel="0" collapsed="false">
      <c r="A13" s="5" t="s">
        <v>39</v>
      </c>
      <c r="B13" s="11"/>
      <c r="C13" s="11"/>
    </row>
    <row r="14" customFormat="false" ht="15" hidden="false" customHeight="false" outlineLevel="0" collapsed="false">
      <c r="A14" s="3" t="s">
        <v>40</v>
      </c>
      <c r="B14" s="12" t="n">
        <f aca="false">SUM(B5:B13)</f>
        <v>2140</v>
      </c>
      <c r="C14" s="12" t="n">
        <f aca="false">SUM(C5:C13)</f>
        <v>1830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5" min="3" style="0" width="22"/>
    <col collapsed="false" customWidth="true" hidden="false" outlineLevel="0" max="6" min="6" style="0" width="20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26.85" hidden="false" customHeight="false" outlineLevel="0" collapsed="false">
      <c r="A4" s="9" t="s">
        <v>77</v>
      </c>
      <c r="B4" s="9" t="s">
        <v>28</v>
      </c>
      <c r="C4" s="9" t="s">
        <v>78</v>
      </c>
      <c r="D4" s="9" t="s">
        <v>79</v>
      </c>
      <c r="E4" s="9" t="s">
        <v>80</v>
      </c>
      <c r="F4" s="9" t="s">
        <v>81</v>
      </c>
      <c r="G4" s="9" t="s">
        <v>82</v>
      </c>
    </row>
    <row r="5" customFormat="false" ht="15" hidden="false" customHeight="false" outlineLevel="0" collapsed="false">
      <c r="A5" s="16" t="s">
        <v>83</v>
      </c>
      <c r="B5" s="4" t="s">
        <v>31</v>
      </c>
      <c r="C5" s="4" t="s">
        <v>84</v>
      </c>
      <c r="D5" s="4" t="n">
        <v>0.4162</v>
      </c>
      <c r="E5" s="4" t="n">
        <v>9.4673</v>
      </c>
      <c r="F5" s="4" t="s">
        <v>85</v>
      </c>
      <c r="G5" s="4" t="s">
        <v>86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</row>
    <row r="13" customFormat="false" ht="35.05" hidden="false" customHeight="false" outlineLevel="0" collapsed="false">
      <c r="A13" s="5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24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4" customFormat="false" ht="39.55" hidden="false" customHeight="false" outlineLevel="0" collapsed="false">
      <c r="A4" s="9" t="s">
        <v>43</v>
      </c>
      <c r="B4" s="9" t="s">
        <v>90</v>
      </c>
      <c r="C4" s="9" t="s">
        <v>91</v>
      </c>
      <c r="D4" s="9" t="s">
        <v>92</v>
      </c>
      <c r="E4" s="9" t="s">
        <v>93</v>
      </c>
      <c r="F4" s="9" t="s">
        <v>94</v>
      </c>
      <c r="G4" s="9" t="s">
        <v>95</v>
      </c>
    </row>
    <row r="5" customFormat="false" ht="15" hidden="false" customHeight="false" outlineLevel="0" collapsed="false">
      <c r="A5" s="4" t="s">
        <v>49</v>
      </c>
      <c r="B5" s="10" t="n">
        <v>1000</v>
      </c>
      <c r="C5" s="10" t="n">
        <v>5000</v>
      </c>
      <c r="D5" s="10" t="n">
        <v>100</v>
      </c>
      <c r="E5" s="13" t="n">
        <v>0</v>
      </c>
      <c r="F5" s="4" t="s">
        <v>96</v>
      </c>
      <c r="G5" s="4" t="s">
        <v>97</v>
      </c>
    </row>
    <row r="6" customFormat="false" ht="15" hidden="false" customHeight="false" outlineLevel="0" collapsed="false">
      <c r="A6" s="6"/>
      <c r="B6" s="11"/>
      <c r="C6" s="11"/>
      <c r="D6" s="11"/>
      <c r="E6" s="15"/>
      <c r="F6" s="6"/>
      <c r="G6" s="6"/>
    </row>
    <row r="7" customFormat="false" ht="15" hidden="false" customHeight="false" outlineLevel="0" collapsed="false">
      <c r="A7" s="6"/>
      <c r="B7" s="11"/>
      <c r="C7" s="11"/>
      <c r="D7" s="11"/>
      <c r="E7" s="15"/>
      <c r="F7" s="6"/>
      <c r="G7" s="6"/>
    </row>
    <row r="8" customFormat="false" ht="15" hidden="false" customHeight="false" outlineLevel="0" collapsed="false">
      <c r="A8" s="6"/>
      <c r="B8" s="11"/>
      <c r="C8" s="11"/>
      <c r="D8" s="11"/>
      <c r="E8" s="15"/>
      <c r="F8" s="6"/>
      <c r="G8" s="6"/>
    </row>
    <row r="9" customFormat="false" ht="15" hidden="false" customHeight="false" outlineLevel="0" collapsed="false">
      <c r="A9" s="6"/>
      <c r="B9" s="11"/>
      <c r="C9" s="11"/>
      <c r="D9" s="11"/>
      <c r="E9" s="15"/>
      <c r="F9" s="6"/>
      <c r="G9" s="6"/>
    </row>
    <row r="10" customFormat="false" ht="15" hidden="false" customHeight="false" outlineLevel="0" collapsed="false">
      <c r="A10" s="6"/>
      <c r="B10" s="11"/>
      <c r="C10" s="11"/>
      <c r="D10" s="11"/>
      <c r="E10" s="15"/>
      <c r="F10" s="6"/>
      <c r="G10" s="6"/>
    </row>
    <row r="11" customFormat="false" ht="15" hidden="false" customHeight="false" outlineLevel="0" collapsed="false">
      <c r="A11" s="6"/>
      <c r="B11" s="11"/>
      <c r="C11" s="11"/>
      <c r="D11" s="11"/>
      <c r="E11" s="15"/>
      <c r="F11" s="6"/>
      <c r="G11" s="6"/>
    </row>
    <row r="12" customFormat="false" ht="15" hidden="false" customHeight="false" outlineLevel="0" collapsed="false">
      <c r="A12" s="6"/>
      <c r="B12" s="11"/>
      <c r="C12" s="11"/>
      <c r="D12" s="11"/>
      <c r="E12" s="15"/>
      <c r="F12" s="6"/>
      <c r="G12" s="6"/>
    </row>
    <row r="13" customFormat="false" ht="15" hidden="false" customHeight="false" outlineLevel="0" collapsed="false">
      <c r="A13" s="6"/>
      <c r="B13" s="11"/>
      <c r="C13" s="11"/>
      <c r="D13" s="11"/>
      <c r="E13" s="15"/>
      <c r="F13" s="6"/>
      <c r="G13" s="6"/>
    </row>
    <row r="15" customFormat="false" ht="46.25" hidden="false" customHeight="false" outlineLevel="0" collapsed="false">
      <c r="A15" s="5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26.85" hidden="false" customHeight="false" outlineLevel="0" collapsed="false">
      <c r="A4" s="9" t="s">
        <v>101</v>
      </c>
      <c r="B4" s="9" t="s">
        <v>102</v>
      </c>
      <c r="C4" s="9" t="s">
        <v>103</v>
      </c>
      <c r="D4" s="9" t="s">
        <v>104</v>
      </c>
      <c r="E4" s="9" t="s">
        <v>105</v>
      </c>
      <c r="F4" s="9" t="s">
        <v>106</v>
      </c>
    </row>
    <row r="5" customFormat="false" ht="15" hidden="false" customHeight="false" outlineLevel="0" collapsed="false">
      <c r="A5" s="5" t="s">
        <v>107</v>
      </c>
      <c r="B5" s="10" t="n">
        <v>1240</v>
      </c>
      <c r="C5" s="10" t="n">
        <v>1180</v>
      </c>
      <c r="D5" s="17" t="n">
        <v>3.5</v>
      </c>
      <c r="E5" s="10" t="n">
        <v>890</v>
      </c>
      <c r="F5" s="10" t="n">
        <v>12</v>
      </c>
    </row>
    <row r="6" customFormat="false" ht="15" hidden="false" customHeight="false" outlineLevel="0" collapsed="false">
      <c r="A6" s="5" t="s">
        <v>108</v>
      </c>
      <c r="B6" s="11"/>
      <c r="C6" s="11"/>
      <c r="D6" s="18"/>
      <c r="E6" s="11"/>
      <c r="F6" s="11"/>
    </row>
    <row r="7" customFormat="false" ht="15" hidden="false" customHeight="false" outlineLevel="0" collapsed="false">
      <c r="A7" s="5" t="s">
        <v>109</v>
      </c>
      <c r="B7" s="11"/>
      <c r="C7" s="11"/>
      <c r="D7" s="18"/>
      <c r="E7" s="11"/>
      <c r="F7" s="11"/>
    </row>
    <row r="8" customFormat="false" ht="15" hidden="false" customHeight="false" outlineLevel="0" collapsed="false">
      <c r="A8" s="5" t="s">
        <v>110</v>
      </c>
      <c r="B8" s="11"/>
      <c r="C8" s="11"/>
      <c r="D8" s="18"/>
      <c r="E8" s="11"/>
      <c r="F8" s="11"/>
    </row>
    <row r="9" customFormat="false" ht="15" hidden="false" customHeight="false" outlineLevel="0" collapsed="false">
      <c r="A9" s="5" t="s">
        <v>111</v>
      </c>
      <c r="B9" s="11"/>
      <c r="C9" s="11"/>
      <c r="D9" s="18"/>
      <c r="E9" s="11"/>
      <c r="F9" s="11"/>
    </row>
    <row r="10" customFormat="false" ht="15" hidden="false" customHeight="false" outlineLevel="0" collapsed="false">
      <c r="A10" s="5" t="s">
        <v>112</v>
      </c>
      <c r="B10" s="11"/>
      <c r="C10" s="11"/>
      <c r="D10" s="18"/>
      <c r="E10" s="11"/>
      <c r="F10" s="11"/>
    </row>
    <row r="11" customFormat="false" ht="15" hidden="false" customHeight="false" outlineLevel="0" collapsed="false">
      <c r="A11" s="3" t="s">
        <v>55</v>
      </c>
      <c r="B11" s="12" t="n">
        <f aca="false">SUM(B5:B10)</f>
        <v>1240</v>
      </c>
      <c r="C11" s="12" t="n">
        <f aca="false">SUM(C5:C10)</f>
        <v>1180</v>
      </c>
      <c r="E11" s="12" t="n">
        <f aca="false">SUM(E5:E10)</f>
        <v>890</v>
      </c>
      <c r="F11" s="12" t="n">
        <f aca="false">SUM(F5:F10)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114</v>
      </c>
    </row>
    <row r="4" customFormat="false" ht="15" hidden="false" customHeight="false" outlineLevel="0" collapsed="false">
      <c r="A4" s="9" t="s">
        <v>115</v>
      </c>
      <c r="B4" s="9" t="s">
        <v>116</v>
      </c>
    </row>
    <row r="5" customFormat="false" ht="15" hidden="false" customHeight="false" outlineLevel="0" collapsed="false">
      <c r="A5" s="5" t="s">
        <v>117</v>
      </c>
      <c r="B5" s="19" t="str">
        <f aca="false">IF(SUMPRODUCT(--(MU_Comptes!C5:C13&gt;MU_Comptes!B5:B13))=0,"OK","À corriger")</f>
        <v>OK</v>
      </c>
    </row>
    <row r="6" customFormat="false" ht="15" hidden="false" customHeight="false" outlineLevel="0" collapsed="false">
      <c r="A6" s="5" t="s">
        <v>118</v>
      </c>
      <c r="B6" s="19" t="str">
        <f aca="false">IF(N(MU_Transactions!B22)=N(MU_Transactions!B13),"OK","À corriger")</f>
        <v>OK</v>
      </c>
    </row>
    <row r="7" customFormat="false" ht="15" hidden="false" customHeight="false" outlineLevel="0" collapsed="false">
      <c r="A7" s="5" t="s">
        <v>119</v>
      </c>
      <c r="B7" s="19" t="str">
        <f aca="false">IF(SUMPRODUCT(--(QS_Qualite!B5:B9&gt;1))+SUMPRODUCT(--((QS_Qualite!B5:B9&lt;0.9)*(QS_Qualite!B5:B9&lt;&gt;0)))=0,"OK","À corriger")</f>
        <v>OK</v>
      </c>
    </row>
    <row r="8" customFormat="false" ht="15" hidden="false" customHeight="false" outlineLevel="0" collapsed="false">
      <c r="A8" s="5" t="s">
        <v>120</v>
      </c>
      <c r="B8" s="19" t="str">
        <f aca="false">IF(SUMPRODUCT(--(RD_Distribution!C5:C13&gt;RD_Distribution!B5:B13))=0,"OK","À corriger")</f>
        <v>OK</v>
      </c>
    </row>
    <row r="9" customFormat="false" ht="15" hidden="false" customHeight="false" outlineLevel="0" collapsed="false">
      <c r="A9" s="5" t="s">
        <v>121</v>
      </c>
      <c r="B9" s="19" t="str">
        <f aca="false">IF(SUMPRODUCT(--(RC_Reclamations!C5:C10&gt;RC_Reclamations!B5:B10))=0,"OK","À corriger")</f>
        <v>OK</v>
      </c>
    </row>
    <row r="10" customFormat="false" ht="15" hidden="false" customHeight="false" outlineLevel="0" collapsed="false">
      <c r="A10" s="5" t="s">
        <v>122</v>
      </c>
      <c r="B10" s="19" t="str">
        <f aca="false">IF(SUMPRODUCT(--(RC_Reclamations!E5:E10&gt;RC_Reclamations!C5:C10))=0,"OK","À corriger")</f>
        <v>OK</v>
      </c>
    </row>
    <row r="12" customFormat="false" ht="15" hidden="false" customHeight="false" outlineLevel="0" collapsed="false">
      <c r="A12" s="3" t="s">
        <v>123</v>
      </c>
      <c r="B12" s="19" t="str">
        <f aca="false">IF(COUNTIF(B5:B10,"À corriger")=0,"OK","À corriger")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2026-07-30T06:39:05Z</dcterms:created>
  <dc:creator>openpyxl</dc:creator>
  <dc:description/>
  <dc:language>fr-FR</dc:language>
  <cp:lastModifiedBy/>
  <dcterms:modified xsi:type="dcterms:W3CDTF">2026-07-30T06:39:05Z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