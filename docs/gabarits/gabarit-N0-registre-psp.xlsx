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fication" sheetId="1" state="visible" r:id="rId1"/>
    <sheet xmlns:r="http://schemas.openxmlformats.org/officeDocument/2006/relationships" name="Demandes" sheetId="2" state="visible" r:id="rId2"/>
    <sheet xmlns:r="http://schemas.openxmlformats.org/officeDocument/2006/relationships" name="Tarifs_gros" sheetId="3" state="visible" r:id="rId3"/>
    <sheet xmlns:r="http://schemas.openxmlformats.org/officeDocument/2006/relationships" name="Synthèse" sheetId="4" state="visible" r:id="rId4"/>
    <sheet xmlns:r="http://schemas.openxmlformats.org/officeDocument/2006/relationships" name="Contrô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EEAF6"/>
      </patternFill>
    </fill>
    <fill>
      <patternFill patternType="solid">
        <fgColor rgb="002F549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4" fillId="3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164" fontId="4" fillId="2" borderId="1" pivotButton="0" quotePrefix="0" xfId="0"/>
    <xf numFmtId="1" fontId="4" fillId="4" borderId="1" pivotButton="0" quotePrefix="0" xfId="0"/>
    <xf numFmtId="0" fontId="4" fillId="4" borderId="1" pivotButton="0" quotePrefix="0" xfId="0"/>
    <xf numFmtId="164" fontId="4" fillId="3" borderId="1" pivotButton="0" quotePrefix="0" xfId="0"/>
    <xf numFmtId="3" fontId="4" fillId="2" borderId="1" pivotButton="0" quotePrefix="0" xfId="0"/>
    <xf numFmtId="3" fontId="4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ARCEP — M14</author>
  </authors>
  <commentList>
    <comment ref="B4" authorId="0" shapeId="0">
      <text>
        <t>Raison sociale complète de l'assujetti.</t>
      </text>
    </comment>
    <comment ref="B5" authorId="0" shapeId="0">
      <text>
        <t>Identifiant attribué par l'ARCEP (référentiel des assujettis).</t>
      </text>
    </comment>
    <comment ref="B6" authorId="0" shapeId="0">
      <text>
        <t>Période couverte par la déclaration.</t>
      </text>
    </comment>
    <comment ref="B7" authorId="0" shapeId="0">
      <text>
        <t>Exemple — à remplacer.</t>
      </text>
    </comment>
    <comment ref="B8" authorId="0" shapeId="0">
      <text>
        <t>Exemple — à remplacer.</t>
      </text>
    </comment>
    <comment ref="B9" authorId="0" shapeId="0">
      <text>
        <t>Exemple — à remplacer.</t>
      </text>
    </comment>
    <comment ref="B10" authorId="0" shapeId="0">
      <text>
        <t>Exemple — à remplacer.</t>
      </text>
    </comment>
  </commentList>
</comments>
</file>

<file path=xl/comments/comment2.xml><?xml version="1.0" encoding="utf-8"?>
<comments xmlns="http://schemas.openxmlformats.org/spreadsheetml/2006/main">
  <authors>
    <author>ARCEP — M14</author>
  </authors>
  <commentList>
    <comment ref="A6" authorId="0" shapeId="0">
      <text>
        <t>Ligne d'exemple — à remplacer. Dates au format AAAA-MM-JJ.</t>
      </text>
    </comment>
    <comment ref="B6" authorId="0" shapeId="0">
      <text>
        <t>Ligne d'exemple — à remplacer. Dates au format AAAA-MM-JJ.</t>
      </text>
    </comment>
    <comment ref="C6" authorId="0" shapeId="0">
      <text>
        <t>Ligne d'exemple — à remplacer. Dates au format AAAA-MM-JJ.</t>
      </text>
    </comment>
    <comment ref="D6" authorId="0" shapeId="0">
      <text>
        <t>Ligne d'exemple — à remplacer. Dates au format AAAA-MM-JJ.</t>
      </text>
    </comment>
    <comment ref="E6" authorId="0" shapeId="0">
      <text>
        <t>Ligne d'exemple — à remplacer. Dates au format AAAA-MM-JJ.</t>
      </text>
    </comment>
    <comment ref="F6" authorId="0" shapeId="0">
      <text>
        <t>Ligne d'exemple — à remplacer. Dates au format AAAA-MM-JJ.</t>
      </text>
    </comment>
    <comment ref="G6" authorId="0" shapeId="0">
      <text>
        <t>Ligne d'exemple — à remplacer. Dates au format AAAA-MM-JJ.</t>
      </text>
    </comment>
    <comment ref="H6" authorId="0" shapeId="0">
      <text>
        <t>Ligne d'exemple — à remplacer. Statuts admis : EN_COURS, EN_SERVICE, REFUSEE, ABANDONNEE.</t>
      </text>
    </comment>
    <comment ref="I6" authorId="0" shapeId="0">
      <text>
        <t>Ligne d'exemple — à remplacer. Dates au format AAAA-MM-JJ.</t>
      </text>
    </comment>
  </commentList>
</comments>
</file>

<file path=xl/comments/comment3.xml><?xml version="1.0" encoding="utf-8"?>
<comments xmlns="http://schemas.openxmlformats.org/spreadsheetml/2006/main">
  <authors>
    <author>ARCEP — M14</author>
  </authors>
  <commentList>
    <comment ref="A5" authorId="0" shapeId="0">
      <text>
        <t>Ligne d'exemple — à remplacer.</t>
      </text>
    </comment>
    <comment ref="B5" authorId="0" shapeId="0">
      <text>
        <t>Ligne d'exemple — à remplacer.</t>
      </text>
    </comment>
    <comment ref="C5" authorId="0" shapeId="0">
      <text>
        <t>Ligne d'exemple — à remplacer.</t>
      </text>
    </comment>
    <comment ref="D5" authorId="0" shapeId="0">
      <text>
        <t>Ligne d'exemple — à remplacer.</t>
      </text>
    </comment>
    <comment ref="E5" authorId="0" shapeId="0">
      <text>
        <t>Ligne d'exemple — à remplacer.</t>
      </text>
    </comment>
    <comment ref="F5" authorId="0" shapeId="0">
      <text>
        <t>Ligne d'exemple — à remplacer.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ARCEP Gabon — Module M14 · Gabarit de collecte N0 (REGISTRE-PSP · trimestriel)</t>
        </is>
      </c>
    </row>
    <row r="2">
      <c r="A2" s="2" t="inlineStr">
        <is>
          <t>Document opposable — décision ARCEP fixant les gabarits (REF-06). Niveau N0 : données déclarées.</t>
        </is>
      </c>
    </row>
    <row r="4">
      <c r="A4" s="3" t="inlineStr">
        <is>
          <t>Opérateur hôte</t>
        </is>
      </c>
      <c r="B4" s="4" t="inlineStr">
        <is>
          <t>Exemple SA</t>
        </is>
      </c>
    </row>
    <row r="5">
      <c r="A5" s="3" t="inlineStr">
        <is>
          <t>Identifiant ARCEP</t>
        </is>
      </c>
      <c r="B5" s="4" t="inlineStr">
        <is>
          <t>GA-OP-000</t>
        </is>
      </c>
    </row>
    <row r="6">
      <c r="A6" s="3" t="inlineStr">
        <is>
          <t>Période déclarée (trimestre, AAAA-Tn)</t>
        </is>
      </c>
      <c r="B6" s="4" t="inlineStr">
        <is>
          <t>2026-T3</t>
        </is>
      </c>
    </row>
    <row r="7">
      <c r="A7" s="3" t="inlineStr">
        <is>
          <t>Date de dépôt (AAAA-MM-JJ)</t>
        </is>
      </c>
      <c r="B7" s="4" t="inlineStr">
        <is>
          <t>2026-08-15</t>
        </is>
      </c>
    </row>
    <row r="8">
      <c r="A8" s="3" t="inlineStr">
        <is>
          <t>Nom et fonction du déclarant</t>
        </is>
      </c>
      <c r="B8" s="4" t="inlineStr">
        <is>
          <t>A. NDONG — Directeur régulation</t>
        </is>
      </c>
    </row>
    <row r="9">
      <c r="A9" s="3" t="inlineStr">
        <is>
          <t>Courriel du déclarant</t>
        </is>
      </c>
      <c r="B9" s="4" t="inlineStr">
        <is>
          <t>declarant@exemple.ga</t>
        </is>
      </c>
    </row>
    <row r="10">
      <c r="A10" s="3" t="inlineStr">
        <is>
          <t>Téléphone du déclarant</t>
        </is>
      </c>
      <c r="B10" s="4" t="inlineStr">
        <is>
          <t>+241 06 00 00 00</t>
        </is>
      </c>
    </row>
    <row r="12">
      <c r="A12" s="3" t="inlineStr">
        <is>
          <t>Rappels réglementaires :</t>
        </is>
      </c>
    </row>
    <row r="13">
      <c r="A13" s="5" t="inlineStr">
        <is>
          <t>• Le dépôt s'effectue sur le portail ARCEP (SSO) accompagné du manifeste signé (hash SHA-256 du fichier) — EX-L2-01.</t>
        </is>
      </c>
      <c r="B13" s="6" t="n"/>
    </row>
    <row r="14">
      <c r="A14" s="5" t="inlineStr">
        <is>
          <t>• Toute cellule jaune non renseignée doit être justifiée en commentaire ; un lot incomplet peut être rejeté (EX-L2-02).</t>
        </is>
      </c>
      <c r="B14" s="6" t="n"/>
    </row>
    <row r="15">
      <c r="A15" s="5" t="inlineStr">
        <is>
          <t>• Les valeurs déclarées portent le drapeau « déclaré » et sont recoupées par les mesures indépendantes de l'ARCEP (N3) ;</t>
        </is>
      </c>
      <c r="B15" s="6" t="n"/>
    </row>
    <row r="16">
      <c r="A16" s="5" t="inlineStr">
        <is>
          <t>• tout écart au-delà des seuils du dictionnaire L4 déclenche la procédure contradictoire (L3.5 / L10).</t>
        </is>
      </c>
      <c r="B16" s="6" t="n"/>
    </row>
    <row r="17">
      <c r="A17" s="5" t="inlineStr">
        <is>
          <t>• Aucune donnée nominative ne doit figurer dans ce gabarit (loi n°001/2011).</t>
        </is>
      </c>
      <c r="B17" s="6" t="n"/>
    </row>
    <row r="19">
      <c r="A19" s="3" t="inlineStr">
        <is>
          <t>Légende :</t>
        </is>
      </c>
    </row>
    <row r="20">
      <c r="A20" s="7" t="n"/>
      <c r="B20" s="5" t="inlineStr">
        <is>
          <t>Cellule JAUNE : à renseigner par le déclarant.</t>
        </is>
      </c>
    </row>
    <row r="21">
      <c r="A21" s="8" t="n"/>
      <c r="B21" s="5" t="inlineStr">
        <is>
          <t>Cellule ORANGÉE : exemple de format — à remplacer par vos valeurs réelles.</t>
        </is>
      </c>
    </row>
    <row r="22">
      <c r="A22" s="9" t="n"/>
      <c r="B22" s="5" t="inlineStr">
        <is>
          <t>Cellule BLEUE : calcul automatique — ne pas modifier.</t>
        </is>
      </c>
    </row>
  </sheetData>
  <mergeCells count="5">
    <mergeCell ref="A16:B16"/>
    <mergeCell ref="A15:B15"/>
    <mergeCell ref="A13:B13"/>
    <mergeCell ref="A14:B14"/>
    <mergeCell ref="A17:B1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8" customWidth="1" min="4" max="4"/>
    <col width="18" customWidth="1" min="5" max="5"/>
    <col width="20" customWidth="1" min="6" max="6"/>
    <col width="18" customWidth="1" min="7" max="7"/>
    <col width="16" customWidth="1" min="8" max="8"/>
    <col width="26" customWidth="1" min="9" max="9"/>
    <col width="18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Registre des demandes de raccordement des PSP/fintechs — support de AT-01 / AT-02</t>
        </is>
      </c>
    </row>
    <row r="2">
      <c r="A2" s="2" t="inlineStr">
        <is>
          <t>Une ligne par demande (y compris closes sur la période et en stock). Jalons : J0 dépôt complet ; J1 accusé (≤ 5 j ouvrés) ; J2 réponse technique et commerciale (≤ 30 j) ; J3 mise en service (≤ 90 j) — délais HYP-10, à confirmer par décision (REF-06).</t>
        </is>
      </c>
    </row>
    <row r="5">
      <c r="A5" s="10" t="inlineStr">
        <is>
          <t>Identifiant demande</t>
        </is>
      </c>
      <c r="B5" s="10" t="inlineStr">
        <is>
          <t>PSP / fintech (raison sociale)</t>
        </is>
      </c>
      <c r="C5" s="10" t="inlineStr">
        <is>
          <t>Canal demandé</t>
        </is>
      </c>
      <c r="D5" s="10" t="inlineStr">
        <is>
          <t>J0 — dépôt réputé complet</t>
        </is>
      </c>
      <c r="E5" s="10" t="inlineStr">
        <is>
          <t>J1 — accusé de réception</t>
        </is>
      </c>
      <c r="F5" s="10" t="inlineStr">
        <is>
          <t>J2 — réponse technique et commerciale</t>
        </is>
      </c>
      <c r="G5" s="10" t="inlineStr">
        <is>
          <t>J3 — mise en service</t>
        </is>
      </c>
      <c r="H5" s="10" t="inlineStr">
        <is>
          <t>Statut</t>
        </is>
      </c>
      <c r="I5" s="10" t="inlineStr">
        <is>
          <t>Motif de refus / observations</t>
        </is>
      </c>
      <c r="J5" s="10" t="inlineStr">
        <is>
          <t>Délai J0→J1 (jours ouvrés) — calcul</t>
        </is>
      </c>
      <c r="K5" s="10" t="inlineStr">
        <is>
          <t>Délai J0→J2 (jours) — calcul</t>
        </is>
      </c>
      <c r="L5" s="10" t="inlineStr">
        <is>
          <t>Délai J0→J3 (jours) — calcul</t>
        </is>
      </c>
      <c r="M5" s="10" t="inlineStr">
        <is>
          <t>Conformité des délais — calcul</t>
        </is>
      </c>
    </row>
    <row r="6">
      <c r="A6" s="4" t="inlineStr">
        <is>
          <t>RAC-2026-001</t>
        </is>
      </c>
      <c r="B6" s="4" t="inlineStr">
        <is>
          <t>PayGabon SARL</t>
        </is>
      </c>
      <c r="C6" s="4" t="inlineStr">
        <is>
          <t>API de gros</t>
        </is>
      </c>
      <c r="D6" s="11" t="n">
        <v>46118</v>
      </c>
      <c r="E6" s="11" t="n">
        <v>46120</v>
      </c>
      <c r="F6" s="11" t="n">
        <v>46142</v>
      </c>
      <c r="G6" s="11" t="n">
        <v>46198</v>
      </c>
      <c r="H6" s="4" t="inlineStr">
        <is>
          <t>EN_SERVICE</t>
        </is>
      </c>
      <c r="I6" s="4" t="inlineStr"/>
      <c r="J6" s="12">
        <f>IF(OR(D6="",E6=""),"",NETWORKDAYS(D6,E6)-1)</f>
        <v/>
      </c>
      <c r="K6" s="12">
        <f>IF(OR(D6="",F6=""),"",F6-D6)</f>
        <v/>
      </c>
      <c r="L6" s="12">
        <f>IF(OR(D6="",G6=""),"",G6-D6)</f>
        <v/>
      </c>
      <c r="M6" s="13">
        <f>IF(D6="","",IF(OR(AND(J6&lt;&gt;"",J6&gt;5),AND(K6&lt;&gt;"",K6&gt;30),AND(L6&lt;&gt;"",L6&gt;90)),"DÉPASSÉ","OK"))</f>
        <v/>
      </c>
    </row>
    <row r="7">
      <c r="A7" s="7" t="n"/>
      <c r="B7" s="7" t="n"/>
      <c r="C7" s="7" t="n"/>
      <c r="D7" s="14" t="n"/>
      <c r="E7" s="14" t="n"/>
      <c r="F7" s="14" t="n"/>
      <c r="G7" s="14" t="n"/>
      <c r="H7" s="7" t="n"/>
      <c r="I7" s="7" t="n"/>
      <c r="J7" s="12">
        <f>IF(OR(D7="",E7=""),"",NETWORKDAYS(D7,E7)-1)</f>
        <v/>
      </c>
      <c r="K7" s="12">
        <f>IF(OR(D7="",F7=""),"",F7-D7)</f>
        <v/>
      </c>
      <c r="L7" s="12">
        <f>IF(OR(D7="",G7=""),"",G7-D7)</f>
        <v/>
      </c>
      <c r="M7" s="13">
        <f>IF(D7="","",IF(OR(AND(J7&lt;&gt;"",J7&gt;5),AND(K7&lt;&gt;"",K7&gt;30),AND(L7&lt;&gt;"",L7&gt;90)),"DÉPASSÉ","OK"))</f>
        <v/>
      </c>
    </row>
    <row r="8">
      <c r="A8" s="7" t="n"/>
      <c r="B8" s="7" t="n"/>
      <c r="C8" s="7" t="n"/>
      <c r="D8" s="14" t="n"/>
      <c r="E8" s="14" t="n"/>
      <c r="F8" s="14" t="n"/>
      <c r="G8" s="14" t="n"/>
      <c r="H8" s="7" t="n"/>
      <c r="I8" s="7" t="n"/>
      <c r="J8" s="12">
        <f>IF(OR(D8="",E8=""),"",NETWORKDAYS(D8,E8)-1)</f>
        <v/>
      </c>
      <c r="K8" s="12">
        <f>IF(OR(D8="",F8=""),"",F8-D8)</f>
        <v/>
      </c>
      <c r="L8" s="12">
        <f>IF(OR(D8="",G8=""),"",G8-D8)</f>
        <v/>
      </c>
      <c r="M8" s="13">
        <f>IF(D8="","",IF(OR(AND(J8&lt;&gt;"",J8&gt;5),AND(K8&lt;&gt;"",K8&gt;30),AND(L8&lt;&gt;"",L8&gt;90)),"DÉPASSÉ","OK"))</f>
        <v/>
      </c>
    </row>
    <row r="9">
      <c r="A9" s="7" t="n"/>
      <c r="B9" s="7" t="n"/>
      <c r="C9" s="7" t="n"/>
      <c r="D9" s="14" t="n"/>
      <c r="E9" s="14" t="n"/>
      <c r="F9" s="14" t="n"/>
      <c r="G9" s="14" t="n"/>
      <c r="H9" s="7" t="n"/>
      <c r="I9" s="7" t="n"/>
      <c r="J9" s="12">
        <f>IF(OR(D9="",E9=""),"",NETWORKDAYS(D9,E9)-1)</f>
        <v/>
      </c>
      <c r="K9" s="12">
        <f>IF(OR(D9="",F9=""),"",F9-D9)</f>
        <v/>
      </c>
      <c r="L9" s="12">
        <f>IF(OR(D9="",G9=""),"",G9-D9)</f>
        <v/>
      </c>
      <c r="M9" s="13">
        <f>IF(D9="","",IF(OR(AND(J9&lt;&gt;"",J9&gt;5),AND(K9&lt;&gt;"",K9&gt;30),AND(L9&lt;&gt;"",L9&gt;90)),"DÉPASSÉ","OK"))</f>
        <v/>
      </c>
    </row>
    <row r="10">
      <c r="A10" s="7" t="n"/>
      <c r="B10" s="7" t="n"/>
      <c r="C10" s="7" t="n"/>
      <c r="D10" s="14" t="n"/>
      <c r="E10" s="14" t="n"/>
      <c r="F10" s="14" t="n"/>
      <c r="G10" s="14" t="n"/>
      <c r="H10" s="7" t="n"/>
      <c r="I10" s="7" t="n"/>
      <c r="J10" s="12">
        <f>IF(OR(D10="",E10=""),"",NETWORKDAYS(D10,E10)-1)</f>
        <v/>
      </c>
      <c r="K10" s="12">
        <f>IF(OR(D10="",F10=""),"",F10-D10)</f>
        <v/>
      </c>
      <c r="L10" s="12">
        <f>IF(OR(D10="",G10=""),"",G10-D10)</f>
        <v/>
      </c>
      <c r="M10" s="13">
        <f>IF(D10="","",IF(OR(AND(J10&lt;&gt;"",J10&gt;5),AND(K10&lt;&gt;"",K10&gt;30),AND(L10&lt;&gt;"",L10&gt;90)),"DÉPASSÉ","OK"))</f>
        <v/>
      </c>
    </row>
    <row r="11">
      <c r="A11" s="7" t="n"/>
      <c r="B11" s="7" t="n"/>
      <c r="C11" s="7" t="n"/>
      <c r="D11" s="14" t="n"/>
      <c r="E11" s="14" t="n"/>
      <c r="F11" s="14" t="n"/>
      <c r="G11" s="14" t="n"/>
      <c r="H11" s="7" t="n"/>
      <c r="I11" s="7" t="n"/>
      <c r="J11" s="12">
        <f>IF(OR(D11="",E11=""),"",NETWORKDAYS(D11,E11)-1)</f>
        <v/>
      </c>
      <c r="K11" s="12">
        <f>IF(OR(D11="",F11=""),"",F11-D11)</f>
        <v/>
      </c>
      <c r="L11" s="12">
        <f>IF(OR(D11="",G11=""),"",G11-D11)</f>
        <v/>
      </c>
      <c r="M11" s="13">
        <f>IF(D11="","",IF(OR(AND(J11&lt;&gt;"",J11&gt;5),AND(K11&lt;&gt;"",K11&gt;30),AND(L11&lt;&gt;"",L11&gt;90)),"DÉPASSÉ","OK"))</f>
        <v/>
      </c>
    </row>
    <row r="12">
      <c r="A12" s="7" t="n"/>
      <c r="B12" s="7" t="n"/>
      <c r="C12" s="7" t="n"/>
      <c r="D12" s="14" t="n"/>
      <c r="E12" s="14" t="n"/>
      <c r="F12" s="14" t="n"/>
      <c r="G12" s="14" t="n"/>
      <c r="H12" s="7" t="n"/>
      <c r="I12" s="7" t="n"/>
      <c r="J12" s="12">
        <f>IF(OR(D12="",E12=""),"",NETWORKDAYS(D12,E12)-1)</f>
        <v/>
      </c>
      <c r="K12" s="12">
        <f>IF(OR(D12="",F12=""),"",F12-D12)</f>
        <v/>
      </c>
      <c r="L12" s="12">
        <f>IF(OR(D12="",G12=""),"",G12-D12)</f>
        <v/>
      </c>
      <c r="M12" s="13">
        <f>IF(D12="","",IF(OR(AND(J12&lt;&gt;"",J12&gt;5),AND(K12&lt;&gt;"",K12&gt;30),AND(L12&lt;&gt;"",L12&gt;90)),"DÉPASSÉ","OK"))</f>
        <v/>
      </c>
    </row>
    <row r="13">
      <c r="A13" s="7" t="n"/>
      <c r="B13" s="7" t="n"/>
      <c r="C13" s="7" t="n"/>
      <c r="D13" s="14" t="n"/>
      <c r="E13" s="14" t="n"/>
      <c r="F13" s="14" t="n"/>
      <c r="G13" s="14" t="n"/>
      <c r="H13" s="7" t="n"/>
      <c r="I13" s="7" t="n"/>
      <c r="J13" s="12">
        <f>IF(OR(D13="",E13=""),"",NETWORKDAYS(D13,E13)-1)</f>
        <v/>
      </c>
      <c r="K13" s="12">
        <f>IF(OR(D13="",F13=""),"",F13-D13)</f>
        <v/>
      </c>
      <c r="L13" s="12">
        <f>IF(OR(D13="",G13=""),"",G13-D13)</f>
        <v/>
      </c>
      <c r="M13" s="13">
        <f>IF(D13="","",IF(OR(AND(J13&lt;&gt;"",J13&gt;5),AND(K13&lt;&gt;"",K13&gt;30),AND(L13&lt;&gt;"",L13&gt;90)),"DÉPASSÉ","OK"))</f>
        <v/>
      </c>
    </row>
    <row r="14">
      <c r="A14" s="7" t="n"/>
      <c r="B14" s="7" t="n"/>
      <c r="C14" s="7" t="n"/>
      <c r="D14" s="14" t="n"/>
      <c r="E14" s="14" t="n"/>
      <c r="F14" s="14" t="n"/>
      <c r="G14" s="14" t="n"/>
      <c r="H14" s="7" t="n"/>
      <c r="I14" s="7" t="n"/>
      <c r="J14" s="12">
        <f>IF(OR(D14="",E14=""),"",NETWORKDAYS(D14,E14)-1)</f>
        <v/>
      </c>
      <c r="K14" s="12">
        <f>IF(OR(D14="",F14=""),"",F14-D14)</f>
        <v/>
      </c>
      <c r="L14" s="12">
        <f>IF(OR(D14="",G14=""),"",G14-D14)</f>
        <v/>
      </c>
      <c r="M14" s="13">
        <f>IF(D14="","",IF(OR(AND(J14&lt;&gt;"",J14&gt;5),AND(K14&lt;&gt;"",K14&gt;30),AND(L14&lt;&gt;"",L14&gt;90)),"DÉPASSÉ","OK"))</f>
        <v/>
      </c>
    </row>
    <row r="15">
      <c r="A15" s="7" t="n"/>
      <c r="B15" s="7" t="n"/>
      <c r="C15" s="7" t="n"/>
      <c r="D15" s="14" t="n"/>
      <c r="E15" s="14" t="n"/>
      <c r="F15" s="14" t="n"/>
      <c r="G15" s="14" t="n"/>
      <c r="H15" s="7" t="n"/>
      <c r="I15" s="7" t="n"/>
      <c r="J15" s="12">
        <f>IF(OR(D15="",E15=""),"",NETWORKDAYS(D15,E15)-1)</f>
        <v/>
      </c>
      <c r="K15" s="12">
        <f>IF(OR(D15="",F15=""),"",F15-D15)</f>
        <v/>
      </c>
      <c r="L15" s="12">
        <f>IF(OR(D15="",G15=""),"",G15-D15)</f>
        <v/>
      </c>
      <c r="M15" s="13">
        <f>IF(D15="","",IF(OR(AND(J15&lt;&gt;"",J15&gt;5),AND(K15&lt;&gt;"",K15&gt;30),AND(L15&lt;&gt;"",L15&gt;90)),"DÉPASSÉ","OK"))</f>
        <v/>
      </c>
    </row>
    <row r="16">
      <c r="A16" s="7" t="n"/>
      <c r="B16" s="7" t="n"/>
      <c r="C16" s="7" t="n"/>
      <c r="D16" s="14" t="n"/>
      <c r="E16" s="14" t="n"/>
      <c r="F16" s="14" t="n"/>
      <c r="G16" s="14" t="n"/>
      <c r="H16" s="7" t="n"/>
      <c r="I16" s="7" t="n"/>
      <c r="J16" s="12">
        <f>IF(OR(D16="",E16=""),"",NETWORKDAYS(D16,E16)-1)</f>
        <v/>
      </c>
      <c r="K16" s="12">
        <f>IF(OR(D16="",F16=""),"",F16-D16)</f>
        <v/>
      </c>
      <c r="L16" s="12">
        <f>IF(OR(D16="",G16=""),"",G16-D16)</f>
        <v/>
      </c>
      <c r="M16" s="13">
        <f>IF(D16="","",IF(OR(AND(J16&lt;&gt;"",J16&gt;5),AND(K16&lt;&gt;"",K16&gt;30),AND(L16&lt;&gt;"",L16&gt;90)),"DÉPASSÉ","OK"))</f>
        <v/>
      </c>
    </row>
    <row r="17">
      <c r="A17" s="7" t="n"/>
      <c r="B17" s="7" t="n"/>
      <c r="C17" s="7" t="n"/>
      <c r="D17" s="14" t="n"/>
      <c r="E17" s="14" t="n"/>
      <c r="F17" s="14" t="n"/>
      <c r="G17" s="14" t="n"/>
      <c r="H17" s="7" t="n"/>
      <c r="I17" s="7" t="n"/>
      <c r="J17" s="12">
        <f>IF(OR(D17="",E17=""),"",NETWORKDAYS(D17,E17)-1)</f>
        <v/>
      </c>
      <c r="K17" s="12">
        <f>IF(OR(D17="",F17=""),"",F17-D17)</f>
        <v/>
      </c>
      <c r="L17" s="12">
        <f>IF(OR(D17="",G17=""),"",G17-D17)</f>
        <v/>
      </c>
      <c r="M17" s="13">
        <f>IF(D17="","",IF(OR(AND(J17&lt;&gt;"",J17&gt;5),AND(K17&lt;&gt;"",K17&gt;30),AND(L17&lt;&gt;"",L17&gt;90)),"DÉPASSÉ","OK"))</f>
        <v/>
      </c>
    </row>
    <row r="19">
      <c r="A19" s="5" t="inlineStr">
        <is>
          <t>… ajouter autant de lignes que nécessaire (recopier les formules des colonnes J à M).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6" customWidth="1" min="4" max="4"/>
    <col width="20" customWidth="1" min="5" max="5"/>
    <col width="20" customWidth="1" min="6" max="6"/>
  </cols>
  <sheetData>
    <row r="1">
      <c r="A1" s="1" t="inlineStr">
        <is>
          <t>Conditions tarifaires de gros des canaux — support de AT-03</t>
        </is>
      </c>
    </row>
    <row r="2">
      <c r="A2" s="2" t="inlineStr">
        <is>
          <t>Une ligne par canal et par condition. « Standard » si l'offre est identique pour tous les PSP ; sinon une ligne par PSP. Les conventions de gros signées sont déposées en pièces jointes (accès restreint DJ/DMQ — EX-L8-03).</t>
        </is>
      </c>
    </row>
    <row r="4">
      <c r="A4" s="10" t="inlineStr">
        <is>
          <t>Canal</t>
        </is>
      </c>
      <c r="B4" s="10" t="inlineStr">
        <is>
          <t>Unité facturée</t>
        </is>
      </c>
      <c r="C4" s="10" t="inlineStr">
        <is>
          <t>Tarif unitaire (XAF)</t>
        </is>
      </c>
      <c r="D4" s="10" t="inlineStr">
        <is>
          <t>PSP concerné (ou « Standard »)</t>
        </is>
      </c>
      <c r="E4" s="10" t="inlineStr">
        <is>
          <t>Date de la convention</t>
        </is>
      </c>
      <c r="F4" s="10" t="inlineStr">
        <is>
          <t>Date de dépôt à l'ARCEP</t>
        </is>
      </c>
    </row>
    <row r="5">
      <c r="A5" s="4" t="inlineStr">
        <is>
          <t>USSD mutualisé</t>
        </is>
      </c>
      <c r="B5" s="4" t="inlineStr">
        <is>
          <t>Session USSD (≤ 90 s)</t>
        </is>
      </c>
      <c r="C5" s="15" t="n">
        <v>12</v>
      </c>
      <c r="D5" s="4" t="inlineStr">
        <is>
          <t>Standard</t>
        </is>
      </c>
      <c r="E5" s="11" t="n">
        <v>46037</v>
      </c>
      <c r="F5" s="11" t="n">
        <v>46042</v>
      </c>
    </row>
    <row r="6">
      <c r="A6" s="7" t="n"/>
      <c r="B6" s="7" t="n"/>
      <c r="C6" s="16" t="n"/>
      <c r="D6" s="7" t="n"/>
      <c r="E6" s="14" t="n"/>
      <c r="F6" s="14" t="n"/>
    </row>
    <row r="7">
      <c r="A7" s="7" t="n"/>
      <c r="B7" s="7" t="n"/>
      <c r="C7" s="16" t="n"/>
      <c r="D7" s="7" t="n"/>
      <c r="E7" s="14" t="n"/>
      <c r="F7" s="14" t="n"/>
    </row>
    <row r="8">
      <c r="A8" s="7" t="n"/>
      <c r="B8" s="7" t="n"/>
      <c r="C8" s="16" t="n"/>
      <c r="D8" s="7" t="n"/>
      <c r="E8" s="14" t="n"/>
      <c r="F8" s="14" t="n"/>
    </row>
    <row r="9">
      <c r="A9" s="7" t="n"/>
      <c r="B9" s="7" t="n"/>
      <c r="C9" s="16" t="n"/>
      <c r="D9" s="7" t="n"/>
      <c r="E9" s="14" t="n"/>
      <c r="F9" s="14" t="n"/>
    </row>
    <row r="10">
      <c r="A10" s="7" t="n"/>
      <c r="B10" s="7" t="n"/>
      <c r="C10" s="16" t="n"/>
      <c r="D10" s="7" t="n"/>
      <c r="E10" s="14" t="n"/>
      <c r="F10" s="14" t="n"/>
    </row>
    <row r="11">
      <c r="A11" s="7" t="n"/>
      <c r="B11" s="7" t="n"/>
      <c r="C11" s="16" t="n"/>
      <c r="D11" s="7" t="n"/>
      <c r="E11" s="14" t="n"/>
      <c r="F11" s="14" t="n"/>
    </row>
    <row r="12">
      <c r="A12" s="7" t="n"/>
      <c r="B12" s="7" t="n"/>
      <c r="C12" s="16" t="n"/>
      <c r="D12" s="7" t="n"/>
      <c r="E12" s="14" t="n"/>
      <c r="F12" s="14" t="n"/>
    </row>
    <row r="13">
      <c r="A13" s="7" t="n"/>
      <c r="B13" s="7" t="n"/>
      <c r="C13" s="16" t="n"/>
      <c r="D13" s="7" t="n"/>
      <c r="E13" s="14" t="n"/>
      <c r="F13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</cols>
  <sheetData>
    <row r="1">
      <c r="A1" s="1" t="inlineStr">
        <is>
          <t>Synthèse calculée — AT-01 / AT-02 (ne rien saisir)</t>
        </is>
      </c>
    </row>
    <row r="2">
      <c r="A2" s="2" t="inlineStr">
        <is>
          <t>Calculs automatiques sur le registre. La médiane AT-01 n'est significative qu'avec les demandes mises en service.</t>
        </is>
      </c>
    </row>
    <row r="4">
      <c r="A4" s="10" t="inlineStr">
        <is>
          <t>Agrégat</t>
        </is>
      </c>
      <c r="B4" s="10" t="inlineStr">
        <is>
          <t>Valeur</t>
        </is>
      </c>
    </row>
    <row r="5">
      <c r="A5" s="5" t="inlineStr">
        <is>
          <t>Nombre de demandes enregistrées sur la période</t>
        </is>
      </c>
      <c r="B5" s="12">
        <f>COUNTA(Demandes!A6:A17)</f>
        <v/>
      </c>
    </row>
    <row r="6">
      <c r="A6" s="5" t="inlineStr">
        <is>
          <t>Demandes mises en service</t>
        </is>
      </c>
      <c r="B6" s="12">
        <f>COUNTIF(Demandes!H6:H17,"EN_SERVICE")</f>
        <v/>
      </c>
    </row>
    <row r="7">
      <c r="A7" s="5" t="inlineStr">
        <is>
          <t>Demandes refusées</t>
        </is>
      </c>
      <c r="B7" s="12">
        <f>COUNTIF(Demandes!H6:H17,"REFUSEE")</f>
        <v/>
      </c>
    </row>
    <row r="8">
      <c r="A8" s="5" t="inlineStr">
        <is>
          <t>Demandes en cours (stock)</t>
        </is>
      </c>
      <c r="B8" s="12">
        <f>COUNTIF(Demandes!H6:H17,"EN_COURS")</f>
        <v/>
      </c>
    </row>
    <row r="9">
      <c r="A9" s="5" t="inlineStr">
        <is>
          <t>AT-01 — délai médian J0→J3 (jours)</t>
        </is>
      </c>
      <c r="B9" s="12">
        <f>IF(COUNT(Demandes!L6:L17)=0,"—",MEDIAN(Demandes!L6:L17))</f>
        <v/>
      </c>
    </row>
    <row r="10">
      <c r="A10" s="5" t="inlineStr">
        <is>
          <t>AT-01 — délai maximal J0→J3 (jours)</t>
        </is>
      </c>
      <c r="B10" s="12">
        <f>IF(COUNT(Demandes!L6:L17)=0,"—",MAX(Demandes!L6:L17))</f>
        <v/>
      </c>
    </row>
    <row r="11">
      <c r="A11" s="5" t="inlineStr">
        <is>
          <t>AT-02 — demandes en cours depuis plus de 30 jours (réponse J2 attendue)</t>
        </is>
      </c>
      <c r="B11" s="12">
        <f>SUMPRODUCT((Demandes!H6:H17="EN_COURS")*(Demandes!K6:K17="")*(Demandes!D6:D17&lt;&gt;"")*((TODAY()-Demandes!D6:D17)&gt;30))</f>
        <v/>
      </c>
    </row>
    <row r="12">
      <c r="A12" s="5" t="inlineStr">
        <is>
          <t>AT-02 — demandes en cours depuis plus de 90 jours (mise en service J3 attendue)</t>
        </is>
      </c>
      <c r="B12" s="12">
        <f>SUMPRODUCT((Demandes!H6:H17="EN_COURS")*(Demandes!D6:D17&lt;&gt;"")*((TODAY()-Demandes!D6:D17)&gt;90))</f>
        <v/>
      </c>
    </row>
    <row r="13">
      <c r="A13" s="5" t="inlineStr">
        <is>
          <t>Demandes avec au moins un délai réglementaire dépassé</t>
        </is>
      </c>
      <c r="B13" s="12">
        <f>COUNTIF(Demandes!M6:M17,"DÉPASSÉ")</f>
        <v/>
      </c>
    </row>
    <row r="15">
      <c r="A15" s="5" t="inlineStr">
        <is>
          <t>NB : les agrégats AT-02 utilisent TODAY() — la valeur affichée dépend de la date d'ouverture du fichier ;</t>
        </is>
      </c>
    </row>
    <row r="16">
      <c r="A16" s="5" t="inlineStr">
        <is>
          <t>l'ARCEP recalcule ces indicateurs à l'ingestion sur la date de clôture de période.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8" customWidth="1" min="1" max="1"/>
    <col width="16" customWidth="1" min="2" max="2"/>
  </cols>
  <sheetData>
    <row r="1">
      <c r="A1" s="1" t="inlineStr">
        <is>
          <t>Contrôles de cohérence automatiques</t>
        </is>
      </c>
    </row>
    <row r="2">
      <c r="A2" s="2" t="inlineStr">
        <is>
          <t>Tous les contrôles doivent afficher OK avant dépôt. Ne rien saisir dans cette feuille.</t>
        </is>
      </c>
    </row>
    <row r="4">
      <c r="A4" s="10" t="inlineStr">
        <is>
          <t>Contrôle</t>
        </is>
      </c>
      <c r="B4" s="10" t="inlineStr">
        <is>
          <t>Résultat</t>
        </is>
      </c>
    </row>
    <row r="5">
      <c r="A5" s="5" t="inlineStr">
        <is>
          <t>Chronologie des jalons respectée (J0 ≤ J1 ≤ J2 ≤ J3, lorsque renseignés)</t>
        </is>
      </c>
      <c r="B5" s="13">
        <f>IF(SUMPRODUCT((Demandes!E6:E17&lt;&gt;"")*(Demandes!D6:D17&lt;&gt;"")*(Demandes!E6:E17&lt;Demandes!D6:D17))+SUMPRODUCT((Demandes!F6:F17&lt;&gt;"")*(Demandes!E6:E17&lt;&gt;"")*(Demandes!F6:F17&lt;Demandes!E6:E17))+SUMPRODUCT((Demandes!G6:G17&lt;&gt;"")*(Demandes!F6:F17&lt;&gt;"")*(Demandes!G6:G17&lt;Demandes!F6:F17))=0,"OK","À corriger")</f>
        <v/>
      </c>
      <c r="D5" s="3" t="inlineStr">
        <is>
          <t>Statuts admis :</t>
        </is>
      </c>
    </row>
    <row r="6">
      <c r="A6" s="5" t="inlineStr">
        <is>
          <t>Statut EN_SERVICE ⇒ date de mise en service J3 renseignée</t>
        </is>
      </c>
      <c r="B6" s="13">
        <f>IF(SUMPRODUCT((Demandes!H6:H17="EN_SERVICE")*(Demandes!G6:G17=""))=0,"OK","À corriger")</f>
        <v/>
      </c>
      <c r="E6" s="17" t="inlineStr">
        <is>
          <t>EN_COURS</t>
        </is>
      </c>
    </row>
    <row r="7">
      <c r="A7" s="5" t="inlineStr">
        <is>
          <t>Statut REFUSEE ⇒ motif de refus renseigné</t>
        </is>
      </c>
      <c r="B7" s="13">
        <f>IF(SUMPRODUCT((Demandes!H6:H17="REFUSEE")*(Demandes!I6:I17=""))=0,"OK","À corriger")</f>
        <v/>
      </c>
      <c r="E7" s="17" t="inlineStr">
        <is>
          <t>EN_SERVICE</t>
        </is>
      </c>
    </row>
    <row r="8">
      <c r="A8" s="5" t="inlineStr">
        <is>
          <t>Statuts admis uniquement (EN_COURS, EN_SERVICE, REFUSEE, ABANDONNEE)</t>
        </is>
      </c>
      <c r="B8" s="13">
        <f>IF(SUMPRODUCT((Demandes!H6:H17&lt;&gt;"")*(COUNTIF('Contrôles'!E6:E9,Demandes!H6:H17)=0))=0,"OK","À corriger")</f>
        <v/>
      </c>
      <c r="E8" s="17" t="inlineStr">
        <is>
          <t>REFUSEE</t>
        </is>
      </c>
    </row>
    <row r="9">
      <c r="A9" s="5" t="inlineStr">
        <is>
          <t>Tarifs de gros strictement positifs lorsqu'une ligne est renseignée</t>
        </is>
      </c>
      <c r="B9" s="13">
        <f>IF(SUMPRODUCT((Tarifs_gros!A5:A13&lt;&gt;"")*(Tarifs_gros!C5:C13&lt;=0))=0,"OK","À corriger")</f>
        <v/>
      </c>
      <c r="E9" s="17" t="inlineStr">
        <is>
          <t>ABANDONNEE</t>
        </is>
      </c>
    </row>
    <row r="11">
      <c r="A11" s="3" t="inlineStr">
        <is>
          <t>SYNTHÈSE — le gabarit est-il cohérent ?</t>
        </is>
      </c>
      <c r="B11" s="13">
        <f>IF(COUNTIF(B5:B9,"À corriger")=0,"OK","À corriger")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2026-07-30T06:39:05Z</dcterms:created>
  <dcterms:modified xmlns:dcterms="http://purl.org/dc/terms/" xmlns:xsi="http://www.w3.org/2001/XMLSchema-instance" xsi:type="dcterms:W3CDTF">2026-07-30T06:39:05Z</dcterms:modified>
</cp:coreProperties>
</file>