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dentification" sheetId="1" state="visible" r:id="rId1"/>
    <sheet xmlns:r="http://schemas.openxmlformats.org/officeDocument/2006/relationships" name="MU_Comptes" sheetId="2" state="visible" r:id="rId2"/>
    <sheet xmlns:r="http://schemas.openxmlformats.org/officeDocument/2006/relationships" name="MU_Transactions" sheetId="3" state="visible" r:id="rId3"/>
    <sheet xmlns:r="http://schemas.openxmlformats.org/officeDocument/2006/relationships" name="QS_Qualite" sheetId="4" state="visible" r:id="rId4"/>
    <sheet xmlns:r="http://schemas.openxmlformats.org/officeDocument/2006/relationships" name="RD_Distribution" sheetId="5" state="visible" r:id="rId5"/>
    <sheet xmlns:r="http://schemas.openxmlformats.org/officeDocument/2006/relationships" name="Points_de_service" sheetId="6" state="visible" r:id="rId6"/>
    <sheet xmlns:r="http://schemas.openxmlformats.org/officeDocument/2006/relationships" name="CT_Tarifs" sheetId="7" state="visible" r:id="rId7"/>
    <sheet xmlns:r="http://schemas.openxmlformats.org/officeDocument/2006/relationships" name="RC_Reclamations" sheetId="8" state="visible" r:id="rId8"/>
    <sheet xmlns:r="http://schemas.openxmlformats.org/officeDocument/2006/relationships" name="Contrô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EEAF6"/>
      </patternFill>
    </fill>
    <fill>
      <patternFill patternType="solid">
        <fgColor rgb="002F549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2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4" fillId="3" borderId="1" pivotButton="0" quotePrefix="0" xfId="0"/>
    <xf numFmtId="0" fontId="0" fillId="2" borderId="1" pivotButton="0" quotePrefix="0" xfId="0"/>
    <xf numFmtId="0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3" fontId="4" fillId="2" borderId="1" pivotButton="0" quotePrefix="0" xfId="0"/>
    <xf numFmtId="3" fontId="4" fillId="3" borderId="1" pivotButton="0" quotePrefix="0" xfId="0"/>
    <xf numFmtId="3" fontId="4" fillId="4" borderId="1" pivotButton="0" quotePrefix="0" xfId="0"/>
    <xf numFmtId="10" fontId="4" fillId="2" borderId="1" pivotButton="0" quotePrefix="0" xfId="0"/>
    <xf numFmtId="164" fontId="4" fillId="4" borderId="1" pivotButton="0" quotePrefix="0" xfId="0"/>
    <xf numFmtId="10" fontId="4" fillId="3" borderId="1" pivotButton="0" quotePrefix="0" xfId="0"/>
    <xf numFmtId="0" fontId="4" fillId="2" borderId="1" applyAlignment="1" pivotButton="0" quotePrefix="0" xfId="0">
      <alignment vertical="top" wrapText="1"/>
    </xf>
    <xf numFmtId="164" fontId="4" fillId="2" borderId="1" pivotButton="0" quotePrefix="0" xfId="0"/>
    <xf numFmtId="164" fontId="4" fillId="3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ARCEP — M14</author>
  </authors>
  <commentList>
    <comment ref="B4" authorId="0" shapeId="0">
      <text>
        <t>Raison sociale complète de l'assujetti.</t>
      </text>
    </comment>
    <comment ref="B5" authorId="0" shapeId="0">
      <text>
        <t>Identifiant attribué par l'ARCEP (référentiel des assujettis).</t>
      </text>
    </comment>
    <comment ref="B6" authorId="0" shapeId="0">
      <text>
        <t>Période couverte par la déclaration.</t>
      </text>
    </comment>
    <comment ref="B7" authorId="0" shapeId="0">
      <text>
        <t>Exemple — à remplacer.</t>
      </text>
    </comment>
    <comment ref="B8" authorId="0" shapeId="0">
      <text>
        <t>Exemple — à remplacer.</t>
      </text>
    </comment>
    <comment ref="B9" authorId="0" shapeId="0">
      <text>
        <t>Exemple — à remplacer.</t>
      </text>
    </comment>
    <comment ref="B10" authorId="0" shapeId="0">
      <text>
        <t>Exemple — à remplacer.</t>
      </text>
    </comment>
  </commentList>
</comments>
</file>

<file path=xl/comments/comment2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à remplacer.</t>
      </text>
    </comment>
    <comment ref="C5" authorId="0" shapeId="0">
      <text>
        <t>Exemple — à remplacer.</t>
      </text>
    </comment>
  </commentList>
</comments>
</file>

<file path=xl/comments/comment3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à remplacer.</t>
      </text>
    </comment>
    <comment ref="C5" authorId="0" shapeId="0">
      <text>
        <t>Exemple — à remplacer.</t>
      </text>
    </comment>
    <comment ref="D5" authorId="0" shapeId="0">
      <text>
        <t>Exemple — à remplacer.</t>
      </text>
    </comment>
    <comment ref="B17" authorId="0" shapeId="0">
      <text>
        <t>Exemple — à remplacer. La somme des canaux doit égaler le total des opérations (contrôle n°2).</t>
      </text>
    </comment>
  </commentList>
</comments>
</file>

<file path=xl/comments/comment4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saisir une fraction : 0,9945 = 99,45 %.</t>
      </text>
    </comment>
    <comment ref="C5" authorId="0" shapeId="0">
      <text>
        <t>Exemple — à remplacer.</t>
      </text>
    </comment>
    <comment ref="D5" authorId="0" shapeId="0">
      <text>
        <t>Exemple — à remplacer.</t>
      </text>
    </comment>
    <comment ref="F5" authorId="0" shapeId="0">
      <text>
        <t>Exemple — saisir une fraction.</t>
      </text>
    </comment>
    <comment ref="B6" authorId="0" shapeId="0">
      <text>
        <t>Saisir une fraction : 0,995 = 99,5 %.</t>
      </text>
    </comment>
    <comment ref="F6" authorId="0" shapeId="0">
      <text>
        <t>Saisir une fraction : 0,97 = 97 %.</t>
      </text>
    </comment>
    <comment ref="B7" authorId="0" shapeId="0">
      <text>
        <t>Saisir une fraction : 0,995 = 99,5 %.</t>
      </text>
    </comment>
    <comment ref="F7" authorId="0" shapeId="0">
      <text>
        <t>Saisir une fraction : 0,97 = 97 %.</t>
      </text>
    </comment>
    <comment ref="B8" authorId="0" shapeId="0">
      <text>
        <t>Saisir une fraction : 0,995 = 99,5 %.</t>
      </text>
    </comment>
    <comment ref="F8" authorId="0" shapeId="0">
      <text>
        <t>Saisir une fraction : 0,97 = 97 %.</t>
      </text>
    </comment>
    <comment ref="B9" authorId="0" shapeId="0">
      <text>
        <t>Saisir une fraction : 0,995 = 99,5 %.</t>
      </text>
    </comment>
    <comment ref="F9" authorId="0" shapeId="0">
      <text>
        <t>Saisir une fraction : 0,97 = 97 %.</t>
      </text>
    </comment>
  </commentList>
</comments>
</file>

<file path=xl/comments/comment5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à remplacer.</t>
      </text>
    </comment>
    <comment ref="C5" authorId="0" shapeId="0">
      <text>
        <t>Exemple — à remplacer.</t>
      </text>
    </comment>
  </commentList>
</comments>
</file>

<file path=xl/comments/comment6.xml><?xml version="1.0" encoding="utf-8"?>
<comments xmlns="http://schemas.openxmlformats.org/spreadsheetml/2006/main">
  <authors>
    <author>ARCEP — M14</author>
  </authors>
  <commentList>
    <comment ref="A5" authorId="0" shapeId="0">
      <text>
        <t>Ligne d'exemple — à remplacer par vos données.</t>
      </text>
    </comment>
    <comment ref="B5" authorId="0" shapeId="0">
      <text>
        <t>Ligne d'exemple — à remplacer par vos données.</t>
      </text>
    </comment>
    <comment ref="C5" authorId="0" shapeId="0">
      <text>
        <t>Ligne d'exemple — à remplacer par vos données.</t>
      </text>
    </comment>
    <comment ref="D5" authorId="0" shapeId="0">
      <text>
        <t>Ligne d'exemple — à remplacer par vos données.</t>
      </text>
    </comment>
    <comment ref="E5" authorId="0" shapeId="0">
      <text>
        <t>Ligne d'exemple — à remplacer par vos données.</t>
      </text>
    </comment>
    <comment ref="F5" authorId="0" shapeId="0">
      <text>
        <t>Ligne d'exemple — à remplacer par vos données.</t>
      </text>
    </comment>
    <comment ref="G5" authorId="0" shapeId="0">
      <text>
        <t>Ligne d'exemple — à remplacer par vos données.</t>
      </text>
    </comment>
  </commentList>
</comments>
</file>

<file path=xl/comments/comment7.xml><?xml version="1.0" encoding="utf-8"?>
<comments xmlns="http://schemas.openxmlformats.org/spreadsheetml/2006/main">
  <authors>
    <author>ARCEP — M14</author>
  </authors>
  <commentList>
    <comment ref="A5" authorId="0" shapeId="0">
      <text>
        <t>Ligne d'exemple — à remplacer.</t>
      </text>
    </comment>
    <comment ref="B5" authorId="0" shapeId="0">
      <text>
        <t>Ligne d'exemple — à remplacer.</t>
      </text>
    </comment>
    <comment ref="C5" authorId="0" shapeId="0">
      <text>
        <t>Ligne d'exemple — à remplacer.</t>
      </text>
    </comment>
    <comment ref="D5" authorId="0" shapeId="0">
      <text>
        <t>Ligne d'exemple — à remplacer.</t>
      </text>
    </comment>
    <comment ref="E5" authorId="0" shapeId="0">
      <text>
        <t>Ligne d'exemple — à remplacer.</t>
      </text>
    </comment>
    <comment ref="F5" authorId="0" shapeId="0">
      <text>
        <t>Ligne d'exemple — à remplacer.</t>
      </text>
    </comment>
    <comment ref="G5" authorId="0" shapeId="0">
      <text>
        <t>Ligne d'exemple — à remplacer.</t>
      </text>
    </comment>
  </commentList>
</comments>
</file>

<file path=xl/comments/comment8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à remplacer.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</cols>
  <sheetData>
    <row r="1">
      <c r="A1" s="1" t="inlineStr">
        <is>
          <t>ARCEP Gabon — Module M14 · Gabarit de collecte N0 (OP-MM · mensuel)</t>
        </is>
      </c>
    </row>
    <row r="2">
      <c r="A2" s="2" t="inlineStr">
        <is>
          <t>Document opposable — décision ARCEP fixant les gabarits (REF-06). Niveau N0 : données déclarées.</t>
        </is>
      </c>
    </row>
    <row r="4">
      <c r="A4" s="3" t="inlineStr">
        <is>
          <t>Opérateur / EME</t>
        </is>
      </c>
      <c r="B4" s="4" t="inlineStr">
        <is>
          <t>Exemple SA</t>
        </is>
      </c>
    </row>
    <row r="5">
      <c r="A5" s="3" t="inlineStr">
        <is>
          <t>Identifiant ARCEP</t>
        </is>
      </c>
      <c r="B5" s="4" t="inlineStr">
        <is>
          <t>GA-OP-000</t>
        </is>
      </c>
    </row>
    <row r="6">
      <c r="A6" s="3" t="inlineStr">
        <is>
          <t>Période déclarée (mois, AAAA-MM)</t>
        </is>
      </c>
      <c r="B6" s="4" t="inlineStr">
        <is>
          <t>2026-07</t>
        </is>
      </c>
    </row>
    <row r="7">
      <c r="A7" s="3" t="inlineStr">
        <is>
          <t>Date de dépôt (AAAA-MM-JJ)</t>
        </is>
      </c>
      <c r="B7" s="4" t="inlineStr">
        <is>
          <t>2026-08-15</t>
        </is>
      </c>
    </row>
    <row r="8">
      <c r="A8" s="3" t="inlineStr">
        <is>
          <t>Nom et fonction du déclarant</t>
        </is>
      </c>
      <c r="B8" s="4" t="inlineStr">
        <is>
          <t>A. NDONG — Directeur régulation</t>
        </is>
      </c>
    </row>
    <row r="9">
      <c r="A9" s="3" t="inlineStr">
        <is>
          <t>Courriel du déclarant</t>
        </is>
      </c>
      <c r="B9" s="4" t="inlineStr">
        <is>
          <t>declarant@exemple.ga</t>
        </is>
      </c>
    </row>
    <row r="10">
      <c r="A10" s="3" t="inlineStr">
        <is>
          <t>Téléphone du déclarant</t>
        </is>
      </c>
      <c r="B10" s="4" t="inlineStr">
        <is>
          <t>+241 06 00 00 00</t>
        </is>
      </c>
    </row>
    <row r="12">
      <c r="A12" s="3" t="inlineStr">
        <is>
          <t>Rappels réglementaires :</t>
        </is>
      </c>
    </row>
    <row r="13">
      <c r="A13" s="5" t="inlineStr">
        <is>
          <t>• Le dépôt s'effectue sur le portail ARCEP (SSO) accompagné du manifeste signé (hash SHA-256 du fichier) — EX-L2-01.</t>
        </is>
      </c>
      <c r="B13" s="6" t="n"/>
    </row>
    <row r="14">
      <c r="A14" s="5" t="inlineStr">
        <is>
          <t>• Toute cellule jaune non renseignée doit être justifiée en commentaire ; un lot incomplet peut être rejeté (EX-L2-02).</t>
        </is>
      </c>
      <c r="B14" s="6" t="n"/>
    </row>
    <row r="15">
      <c r="A15" s="5" t="inlineStr">
        <is>
          <t>• Les valeurs déclarées portent le drapeau « déclaré » et sont recoupées par les mesures indépendantes de l'ARCEP (N3) ;</t>
        </is>
      </c>
      <c r="B15" s="6" t="n"/>
    </row>
    <row r="16">
      <c r="A16" s="5" t="inlineStr">
        <is>
          <t>• tout écart au-delà des seuils du dictionnaire L4 déclenche la procédure contradictoire (L3.5 / L10).</t>
        </is>
      </c>
      <c r="B16" s="6" t="n"/>
    </row>
    <row r="17">
      <c r="A17" s="5" t="inlineStr">
        <is>
          <t>• Aucune donnée nominative ne doit figurer dans ce gabarit (loi n°001/2011).</t>
        </is>
      </c>
      <c r="B17" s="6" t="n"/>
    </row>
    <row r="19">
      <c r="A19" s="3" t="inlineStr">
        <is>
          <t>Légende :</t>
        </is>
      </c>
    </row>
    <row r="20">
      <c r="A20" s="7" t="n"/>
      <c r="B20" s="5" t="inlineStr">
        <is>
          <t>Cellule JAUNE : à renseigner par le déclarant.</t>
        </is>
      </c>
    </row>
    <row r="21">
      <c r="A21" s="8" t="n"/>
      <c r="B21" s="5" t="inlineStr">
        <is>
          <t>Cellule ORANGÉE : exemple de format — à remplacer par vos valeurs réelles.</t>
        </is>
      </c>
    </row>
    <row r="22">
      <c r="A22" s="9" t="n"/>
      <c r="B22" s="5" t="inlineStr">
        <is>
          <t>Cellule BLEUE : calcul automatique — ne pas modifier.</t>
        </is>
      </c>
    </row>
  </sheetData>
  <mergeCells count="5">
    <mergeCell ref="A16:B16"/>
    <mergeCell ref="A15:B15"/>
    <mergeCell ref="A13:B13"/>
    <mergeCell ref="A14:B14"/>
    <mergeCell ref="A17:B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6" customWidth="1" min="3" max="3"/>
  </cols>
  <sheetData>
    <row r="1">
      <c r="A1" s="1" t="inlineStr">
        <is>
          <t>Comptes DFS par province — indicateurs MU-01 / MU-02</t>
        </is>
      </c>
    </row>
    <row r="2">
      <c r="A2" s="2" t="inlineStr">
        <is>
          <t>MU-01 : comptes enregistrés (cumul fin de période). MU-02 : comptes avec ≥ 1 opération sur 90 jours.</t>
        </is>
      </c>
    </row>
    <row r="4">
      <c r="A4" s="10" t="inlineStr">
        <is>
          <t>Province</t>
        </is>
      </c>
      <c r="B4" s="10" t="inlineStr">
        <is>
          <t>Comptes enregistrés (cumul)</t>
        </is>
      </c>
      <c r="C4" s="10" t="inlineStr">
        <is>
          <t>Comptes actifs 90 jours</t>
        </is>
      </c>
    </row>
    <row r="5">
      <c r="A5" s="5" t="inlineStr">
        <is>
          <t>Estuaire</t>
        </is>
      </c>
      <c r="B5" s="11" t="n">
        <v>512340</v>
      </c>
      <c r="C5" s="11" t="n">
        <v>287100</v>
      </c>
    </row>
    <row r="6">
      <c r="A6" s="5" t="inlineStr">
        <is>
          <t>Haut-Ogooué</t>
        </is>
      </c>
      <c r="B6" s="12" t="n"/>
      <c r="C6" s="12" t="n"/>
    </row>
    <row r="7">
      <c r="A7" s="5" t="inlineStr">
        <is>
          <t>Moyen-Ogooué</t>
        </is>
      </c>
      <c r="B7" s="12" t="n"/>
      <c r="C7" s="12" t="n"/>
    </row>
    <row r="8">
      <c r="A8" s="5" t="inlineStr">
        <is>
          <t>Ngounié</t>
        </is>
      </c>
      <c r="B8" s="12" t="n"/>
      <c r="C8" s="12" t="n"/>
    </row>
    <row r="9">
      <c r="A9" s="5" t="inlineStr">
        <is>
          <t>Nyanga</t>
        </is>
      </c>
      <c r="B9" s="12" t="n"/>
      <c r="C9" s="12" t="n"/>
    </row>
    <row r="10">
      <c r="A10" s="5" t="inlineStr">
        <is>
          <t>Ogooué-Ivindo</t>
        </is>
      </c>
      <c r="B10" s="12" t="n"/>
      <c r="C10" s="12" t="n"/>
    </row>
    <row r="11">
      <c r="A11" s="5" t="inlineStr">
        <is>
          <t>Ogooué-Lolo</t>
        </is>
      </c>
      <c r="B11" s="12" t="n"/>
      <c r="C11" s="12" t="n"/>
    </row>
    <row r="12">
      <c r="A12" s="5" t="inlineStr">
        <is>
          <t>Ogooué-Maritime</t>
        </is>
      </c>
      <c r="B12" s="12" t="n"/>
      <c r="C12" s="12" t="n"/>
    </row>
    <row r="13">
      <c r="A13" s="5" t="inlineStr">
        <is>
          <t>Woleu-Ntem</t>
        </is>
      </c>
      <c r="B13" s="12" t="n"/>
      <c r="C13" s="12" t="n"/>
    </row>
    <row r="14">
      <c r="A14" s="3" t="inlineStr">
        <is>
          <t>TOTAL NATIONAL</t>
        </is>
      </c>
      <c r="B14" s="13">
        <f>SUM(B5:B13)</f>
        <v/>
      </c>
      <c r="C14" s="13">
        <f>SUM(C5:C13)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30" customWidth="1" min="4" max="4"/>
  </cols>
  <sheetData>
    <row r="1">
      <c r="A1" s="1" t="inlineStr">
        <is>
          <t>Transactions par type — indicateurs MU-03 / MU-04 / MU-06</t>
        </is>
      </c>
    </row>
    <row r="2">
      <c r="A2" s="2" t="inlineStr">
        <is>
          <t>Nombre et valeur (XAF) des opérations abouties sur la période. P2P inter-réseaux = MU-06.</t>
        </is>
      </c>
    </row>
    <row r="4">
      <c r="A4" s="10" t="inlineStr">
        <is>
          <t>Type d'opération</t>
        </is>
      </c>
      <c r="B4" s="10" t="inlineStr">
        <is>
          <t>Nombre d'opérations</t>
        </is>
      </c>
      <c r="C4" s="10" t="inlineStr">
        <is>
          <t>Valeur totale (XAF)</t>
        </is>
      </c>
      <c r="D4" s="10" t="inlineStr">
        <is>
          <t>Frais clients perçus (XAF) — CT-04</t>
        </is>
      </c>
    </row>
    <row r="5">
      <c r="A5" s="5" t="inlineStr">
        <is>
          <t>Dépôt (cash-in)</t>
        </is>
      </c>
      <c r="B5" s="11" t="n">
        <v>1250000</v>
      </c>
      <c r="C5" s="11" t="n">
        <v>18750000000</v>
      </c>
      <c r="D5" s="11" t="n">
        <v>187500000</v>
      </c>
    </row>
    <row r="6">
      <c r="A6" s="5" t="inlineStr">
        <is>
          <t>Retrait (cash-out)</t>
        </is>
      </c>
      <c r="B6" s="12" t="n"/>
      <c r="C6" s="12" t="n"/>
      <c r="D6" s="12" t="n"/>
    </row>
    <row r="7">
      <c r="A7" s="5" t="inlineStr">
        <is>
          <t>P2P intra-réseau</t>
        </is>
      </c>
      <c r="B7" s="12" t="n"/>
      <c r="C7" s="12" t="n"/>
      <c r="D7" s="12" t="n"/>
    </row>
    <row r="8">
      <c r="A8" s="5" t="inlineStr">
        <is>
          <t>P2P inter-réseaux</t>
        </is>
      </c>
      <c r="B8" s="12" t="n"/>
      <c r="C8" s="12" t="n"/>
      <c r="D8" s="12" t="n"/>
    </row>
    <row r="9">
      <c r="A9" s="5" t="inlineStr">
        <is>
          <t>Paiement marchand</t>
        </is>
      </c>
      <c r="B9" s="12" t="n"/>
      <c r="C9" s="12" t="n"/>
      <c r="D9" s="12" t="n"/>
    </row>
    <row r="10">
      <c r="A10" s="5" t="inlineStr">
        <is>
          <t>Paiement de facture</t>
        </is>
      </c>
      <c r="B10" s="12" t="n"/>
      <c r="C10" s="12" t="n"/>
      <c r="D10" s="12" t="n"/>
    </row>
    <row r="11">
      <c r="A11" s="5" t="inlineStr">
        <is>
          <t>Recharge de crédit</t>
        </is>
      </c>
      <c r="B11" s="12" t="n"/>
      <c r="C11" s="12" t="n"/>
      <c r="D11" s="12" t="n"/>
    </row>
    <row r="12">
      <c r="A12" s="5" t="inlineStr">
        <is>
          <t>Transfert international</t>
        </is>
      </c>
      <c r="B12" s="12" t="n"/>
      <c r="C12" s="12" t="n"/>
      <c r="D12" s="12" t="n"/>
    </row>
    <row r="13">
      <c r="A13" s="3" t="inlineStr">
        <is>
          <t>TOTAL</t>
        </is>
      </c>
      <c r="B13" s="13">
        <f>SUM(B5:B12)</f>
        <v/>
      </c>
      <c r="C13" s="13">
        <f>SUM(C5:C12)</f>
        <v/>
      </c>
      <c r="D13" s="13">
        <f>SUM(D5:D12)</f>
        <v/>
      </c>
    </row>
    <row r="15">
      <c r="A15" s="3" t="inlineStr">
        <is>
          <t>Répartition par canal d'initiation — indicateur MU-08 (nombre d'opérations)</t>
        </is>
      </c>
    </row>
    <row r="16">
      <c r="A16" s="10" t="inlineStr">
        <is>
          <t>Canal</t>
        </is>
      </c>
      <c r="B16" s="10" t="inlineStr">
        <is>
          <t>Nombre d'opérations</t>
        </is>
      </c>
    </row>
    <row r="17">
      <c r="A17" s="5" t="inlineStr">
        <is>
          <t>USSD</t>
        </is>
      </c>
      <c r="B17" s="11" t="n">
        <v>1250000</v>
      </c>
    </row>
    <row r="18">
      <c r="A18" s="5" t="inlineStr">
        <is>
          <t>STK (SIM Toolkit)</t>
        </is>
      </c>
      <c r="B18" s="12" t="n"/>
    </row>
    <row r="19">
      <c r="A19" s="5" t="inlineStr">
        <is>
          <t>Application mobile</t>
        </is>
      </c>
      <c r="B19" s="12" t="n"/>
    </row>
    <row r="20">
      <c r="A20" s="5" t="inlineStr">
        <is>
          <t>API (PSP tiers)</t>
        </is>
      </c>
      <c r="B20" s="12" t="n"/>
    </row>
    <row r="21">
      <c r="A21" s="5" t="inlineStr">
        <is>
          <t>SMS</t>
        </is>
      </c>
      <c r="B21" s="12" t="n"/>
    </row>
    <row r="22">
      <c r="A22" s="3" t="inlineStr">
        <is>
          <t>TOTAL (doit égaler le total des opérations)</t>
        </is>
      </c>
      <c r="B22" s="13">
        <f>SUM(B17:B21)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6" customWidth="1" min="3" max="3"/>
    <col width="28" customWidth="1" min="4" max="4"/>
    <col width="20" customWidth="1" min="5" max="5"/>
    <col width="26" customWidth="1" min="6" max="6"/>
  </cols>
  <sheetData>
    <row r="1">
      <c r="A1" s="1" t="inlineStr">
        <is>
          <t>Qualité et disponibilité déclarées par canal — QS-01 (déclaré) / QS-09 / QS-10</t>
        </is>
      </c>
    </row>
    <row r="2">
      <c r="A2" s="2" t="inlineStr">
        <is>
          <t>Ces valeurs déclarées sont comparées aux mesures indépendantes (QS-11) ; écart &gt; 1 point → contradictoire.</t>
        </is>
      </c>
    </row>
    <row r="4">
      <c r="A4" s="10" t="inlineStr">
        <is>
          <t>Canal</t>
        </is>
      </c>
      <c r="B4" s="10" t="inlineStr">
        <is>
          <t>Disponibilité déclarée (%)</t>
        </is>
      </c>
      <c r="C4" s="10" t="inlineStr">
        <is>
          <t>Nb incidents majeurs (indispo &gt; 30 min)</t>
        </is>
      </c>
      <c r="D4" s="10" t="inlineStr">
        <is>
          <t>Durée cumulée d'indisponibilité (minutes)</t>
        </is>
      </c>
      <c r="E4" s="10" t="inlineStr">
        <is>
          <t>MTTR (minutes) — calcul</t>
        </is>
      </c>
      <c r="F4" s="10" t="inlineStr">
        <is>
          <t>Taux de succès transactionnel déclaré (%)</t>
        </is>
      </c>
    </row>
    <row r="5">
      <c r="A5" s="5" t="inlineStr">
        <is>
          <t>USSD</t>
        </is>
      </c>
      <c r="B5" s="14" t="n">
        <v>0.9945000000000001</v>
      </c>
      <c r="C5" s="11" t="n">
        <v>2</v>
      </c>
      <c r="D5" s="11" t="n">
        <v>145</v>
      </c>
      <c r="E5" s="15">
        <f>IF(N(C5)=0,"—",D5/C5)</f>
        <v/>
      </c>
      <c r="F5" s="14" t="n">
        <v>0.972</v>
      </c>
    </row>
    <row r="6">
      <c r="A6" s="5" t="inlineStr">
        <is>
          <t>STK (SIM Toolkit)</t>
        </is>
      </c>
      <c r="B6" s="16" t="n"/>
      <c r="C6" s="12" t="n"/>
      <c r="D6" s="12" t="n"/>
      <c r="E6" s="15">
        <f>IF(N(C6)=0,"—",D6/C6)</f>
        <v/>
      </c>
      <c r="F6" s="16" t="n"/>
    </row>
    <row r="7">
      <c r="A7" s="5" t="inlineStr">
        <is>
          <t>Application mobile</t>
        </is>
      </c>
      <c r="B7" s="16" t="n"/>
      <c r="C7" s="12" t="n"/>
      <c r="D7" s="12" t="n"/>
      <c r="E7" s="15">
        <f>IF(N(C7)=0,"—",D7/C7)</f>
        <v/>
      </c>
      <c r="F7" s="16" t="n"/>
    </row>
    <row r="8">
      <c r="A8" s="5" t="inlineStr">
        <is>
          <t>API (PSP tiers)</t>
        </is>
      </c>
      <c r="B8" s="16" t="n"/>
      <c r="C8" s="12" t="n"/>
      <c r="D8" s="12" t="n"/>
      <c r="E8" s="15">
        <f>IF(N(C8)=0,"—",D8/C8)</f>
        <v/>
      </c>
      <c r="F8" s="16" t="n"/>
    </row>
    <row r="9">
      <c r="A9" s="5" t="inlineStr">
        <is>
          <t>SMS</t>
        </is>
      </c>
      <c r="B9" s="16" t="n"/>
      <c r="C9" s="12" t="n"/>
      <c r="D9" s="12" t="n"/>
      <c r="E9" s="15">
        <f>IF(N(C9)=0,"—",D9/C9)</f>
        <v/>
      </c>
      <c r="F9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</cols>
  <sheetData>
    <row r="1">
      <c r="A1" s="1" t="inlineStr">
        <is>
          <t>Réseau de distribution par province — RD-01</t>
        </is>
      </c>
    </row>
    <row r="2">
      <c r="A2" s="2" t="inlineStr">
        <is>
          <t>Point actif = ≥ 1 opération sur les 30 derniers jours. Le registre géolocalisé détaillé est déposé dans l'onglet Points_de_service.</t>
        </is>
      </c>
    </row>
    <row r="4">
      <c r="A4" s="10" t="inlineStr">
        <is>
          <t>Province</t>
        </is>
      </c>
      <c r="B4" s="10" t="inlineStr">
        <is>
          <t>Points de service déclarés</t>
        </is>
      </c>
      <c r="C4" s="10" t="inlineStr">
        <is>
          <t>Points de service actifs (30 j)</t>
        </is>
      </c>
    </row>
    <row r="5">
      <c r="A5" s="5" t="inlineStr">
        <is>
          <t>Estuaire</t>
        </is>
      </c>
      <c r="B5" s="11" t="n">
        <v>2140</v>
      </c>
      <c r="C5" s="11" t="n">
        <v>1830</v>
      </c>
    </row>
    <row r="6">
      <c r="A6" s="5" t="inlineStr">
        <is>
          <t>Haut-Ogooué</t>
        </is>
      </c>
      <c r="B6" s="12" t="n"/>
      <c r="C6" s="12" t="n"/>
    </row>
    <row r="7">
      <c r="A7" s="5" t="inlineStr">
        <is>
          <t>Moyen-Ogooué</t>
        </is>
      </c>
      <c r="B7" s="12" t="n"/>
      <c r="C7" s="12" t="n"/>
    </row>
    <row r="8">
      <c r="A8" s="5" t="inlineStr">
        <is>
          <t>Ngounié</t>
        </is>
      </c>
      <c r="B8" s="12" t="n"/>
      <c r="C8" s="12" t="n"/>
    </row>
    <row r="9">
      <c r="A9" s="5" t="inlineStr">
        <is>
          <t>Nyanga</t>
        </is>
      </c>
      <c r="B9" s="12" t="n"/>
      <c r="C9" s="12" t="n"/>
    </row>
    <row r="10">
      <c r="A10" s="5" t="inlineStr">
        <is>
          <t>Ogooué-Ivindo</t>
        </is>
      </c>
      <c r="B10" s="12" t="n"/>
      <c r="C10" s="12" t="n"/>
    </row>
    <row r="11">
      <c r="A11" s="5" t="inlineStr">
        <is>
          <t>Ogooué-Lolo</t>
        </is>
      </c>
      <c r="B11" s="12" t="n"/>
      <c r="C11" s="12" t="n"/>
    </row>
    <row r="12">
      <c r="A12" s="5" t="inlineStr">
        <is>
          <t>Ogooué-Maritime</t>
        </is>
      </c>
      <c r="B12" s="12" t="n"/>
      <c r="C12" s="12" t="n"/>
    </row>
    <row r="13">
      <c r="A13" s="5" t="inlineStr">
        <is>
          <t>Woleu-Ntem</t>
        </is>
      </c>
      <c r="B13" s="12" t="n"/>
      <c r="C13" s="12" t="n"/>
    </row>
    <row r="14">
      <c r="A14" s="3" t="inlineStr">
        <is>
          <t>TOTAL NATIONAL</t>
        </is>
      </c>
      <c r="B14" s="13">
        <f>SUM(B5:B13)</f>
        <v/>
      </c>
      <c r="C14" s="13">
        <f>SUM(C5:C13)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22" customWidth="1" min="4" max="4"/>
    <col width="22" customWidth="1" min="5" max="5"/>
    <col width="20" customWidth="1" min="6" max="6"/>
    <col width="26" customWidth="1" min="7" max="7"/>
  </cols>
  <sheetData>
    <row r="1">
      <c r="A1" s="1" t="inlineStr">
        <is>
          <t>Registre géolocalisé des points de service — support de RD-03 et de l'échantillonnage des campagnes mystères</t>
        </is>
      </c>
    </row>
    <row r="2">
      <c r="A2" s="2" t="inlineStr">
        <is>
          <t>Une ligne par point. Identifiant professionnel uniquement — aucune donnée nominative (pas de nom de personne physique).</t>
        </is>
      </c>
    </row>
    <row r="4">
      <c r="A4" s="10" t="inlineStr">
        <is>
          <t>Identifiant point (interne opérateur)</t>
        </is>
      </c>
      <c r="B4" s="10" t="inlineStr">
        <is>
          <t>Province</t>
        </is>
      </c>
      <c r="C4" s="10" t="inlineStr">
        <is>
          <t>Ville / localité</t>
        </is>
      </c>
      <c r="D4" s="10" t="inlineStr">
        <is>
          <t>Latitude (degrés décimaux)</t>
        </is>
      </c>
      <c r="E4" s="10" t="inlineStr">
        <is>
          <t>Longitude (degrés décimaux)</t>
        </is>
      </c>
      <c r="F4" s="10" t="inlineStr">
        <is>
          <t>Statut (ACTIF / INACTIF)</t>
        </is>
      </c>
      <c r="G4" s="10" t="inlineStr">
        <is>
          <t>Date de dernière activité (AAAA-MM-JJ)</t>
        </is>
      </c>
    </row>
    <row r="5">
      <c r="A5" s="17" t="inlineStr">
        <is>
          <t>AGT-LBV-00421</t>
        </is>
      </c>
      <c r="B5" s="4" t="inlineStr">
        <is>
          <t>Estuaire</t>
        </is>
      </c>
      <c r="C5" s="4" t="inlineStr">
        <is>
          <t>Libreville — Nzeng-Ayong</t>
        </is>
      </c>
      <c r="D5" s="4" t="n">
        <v>0.4162</v>
      </c>
      <c r="E5" s="4" t="n">
        <v>9.4673</v>
      </c>
      <c r="F5" s="4" t="inlineStr">
        <is>
          <t>ACTIF</t>
        </is>
      </c>
      <c r="G5" s="4" t="inlineStr">
        <is>
          <t>2026-07-28</t>
        </is>
      </c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3">
      <c r="A13" s="5" t="inlineStr">
        <is>
          <t>… ajouter autant de lignes que de points de service (ou joindre un CSV au même schéma).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8" customWidth="1" min="4" max="4"/>
    <col width="20" customWidth="1" min="5" max="5"/>
    <col width="24" customWidth="1" min="6" max="6"/>
    <col width="24" customWidth="1" min="7" max="7"/>
  </cols>
  <sheetData>
    <row r="1">
      <c r="A1" s="1" t="inlineStr">
        <is>
          <t>Grille tarifaire en vigueur — CT-01 (et base de contrôle CT-02)</t>
        </is>
      </c>
    </row>
    <row r="2">
      <c r="A2" s="2" t="inlineStr">
        <is>
          <t>La grille déposée fait foi pour le contrôle des frais réellement appliqués (mesures N3). Tout écart constaté ouvre un contradictoire (tolérance zéro).</t>
        </is>
      </c>
    </row>
    <row r="4">
      <c r="A4" s="10" t="inlineStr">
        <is>
          <t>Type d'opération</t>
        </is>
      </c>
      <c r="B4" s="10" t="inlineStr">
        <is>
          <t>Palier — montant min (XAF)</t>
        </is>
      </c>
      <c r="C4" s="10" t="inlineStr">
        <is>
          <t>Palier — montant max (XAF)</t>
        </is>
      </c>
      <c r="D4" s="10" t="inlineStr">
        <is>
          <t>Frais fixes (XAF)</t>
        </is>
      </c>
      <c r="E4" s="10" t="inlineStr">
        <is>
          <t>Frais proportionnels (%)</t>
        </is>
      </c>
      <c r="F4" s="10" t="inlineStr">
        <is>
          <t>Date d'application (AAAA-MM-JJ)</t>
        </is>
      </c>
      <c r="G4" s="10" t="inlineStr">
        <is>
          <t>Date de dépôt à l'ARCEP (AAAA-MM-JJ)</t>
        </is>
      </c>
    </row>
    <row r="5">
      <c r="A5" s="4" t="inlineStr">
        <is>
          <t>P2P intra-réseau</t>
        </is>
      </c>
      <c r="B5" s="11" t="n">
        <v>1000</v>
      </c>
      <c r="C5" s="11" t="n">
        <v>5000</v>
      </c>
      <c r="D5" s="11" t="n">
        <v>100</v>
      </c>
      <c r="E5" s="14" t="n">
        <v>0</v>
      </c>
      <c r="F5" s="4" t="inlineStr">
        <is>
          <t>2026-01-01</t>
        </is>
      </c>
      <c r="G5" s="4" t="inlineStr">
        <is>
          <t>2025-12-10</t>
        </is>
      </c>
    </row>
    <row r="6">
      <c r="A6" s="7" t="n"/>
      <c r="B6" s="12" t="n"/>
      <c r="C6" s="12" t="n"/>
      <c r="D6" s="12" t="n"/>
      <c r="E6" s="16" t="n"/>
      <c r="F6" s="7" t="n"/>
      <c r="G6" s="7" t="n"/>
    </row>
    <row r="7">
      <c r="A7" s="7" t="n"/>
      <c r="B7" s="12" t="n"/>
      <c r="C7" s="12" t="n"/>
      <c r="D7" s="12" t="n"/>
      <c r="E7" s="16" t="n"/>
      <c r="F7" s="7" t="n"/>
      <c r="G7" s="7" t="n"/>
    </row>
    <row r="8">
      <c r="A8" s="7" t="n"/>
      <c r="B8" s="12" t="n"/>
      <c r="C8" s="12" t="n"/>
      <c r="D8" s="12" t="n"/>
      <c r="E8" s="16" t="n"/>
      <c r="F8" s="7" t="n"/>
      <c r="G8" s="7" t="n"/>
    </row>
    <row r="9">
      <c r="A9" s="7" t="n"/>
      <c r="B9" s="12" t="n"/>
      <c r="C9" s="12" t="n"/>
      <c r="D9" s="12" t="n"/>
      <c r="E9" s="16" t="n"/>
      <c r="F9" s="7" t="n"/>
      <c r="G9" s="7" t="n"/>
    </row>
    <row r="10">
      <c r="A10" s="7" t="n"/>
      <c r="B10" s="12" t="n"/>
      <c r="C10" s="12" t="n"/>
      <c r="D10" s="12" t="n"/>
      <c r="E10" s="16" t="n"/>
      <c r="F10" s="7" t="n"/>
      <c r="G10" s="7" t="n"/>
    </row>
    <row r="11">
      <c r="A11" s="7" t="n"/>
      <c r="B11" s="12" t="n"/>
      <c r="C11" s="12" t="n"/>
      <c r="D11" s="12" t="n"/>
      <c r="E11" s="16" t="n"/>
      <c r="F11" s="7" t="n"/>
      <c r="G11" s="7" t="n"/>
    </row>
    <row r="12">
      <c r="A12" s="7" t="n"/>
      <c r="B12" s="12" t="n"/>
      <c r="C12" s="12" t="n"/>
      <c r="D12" s="12" t="n"/>
      <c r="E12" s="16" t="n"/>
      <c r="F12" s="7" t="n"/>
      <c r="G12" s="7" t="n"/>
    </row>
    <row r="13">
      <c r="A13" s="7" t="n"/>
      <c r="B13" s="12" t="n"/>
      <c r="C13" s="12" t="n"/>
      <c r="D13" s="12" t="n"/>
      <c r="E13" s="16" t="n"/>
      <c r="F13" s="7" t="n"/>
      <c r="G13" s="7" t="n"/>
    </row>
    <row r="15">
      <c r="A15" s="5" t="inlineStr">
        <is>
          <t>… une ligne par type et par palier. Les frais proportionnels sont saisis en fraction (0,01 = 1 %).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26" customWidth="1" min="4" max="4"/>
    <col width="22" customWidth="1" min="5" max="5"/>
    <col width="20" customWidth="1" min="6" max="6"/>
  </cols>
  <sheetData>
    <row r="1">
      <c r="A1" s="1" t="inlineStr">
        <is>
          <t>Réclamations consommateurs par motif — RC-01 / RC-02 / RC-03 / RC-04</t>
        </is>
      </c>
    </row>
    <row r="2">
      <c r="A2" s="2" t="inlineStr">
        <is>
          <t>Réclamations DFS reçues par vos canaux de service client sur la période.</t>
        </is>
      </c>
    </row>
    <row r="4">
      <c r="A4" s="10" t="inlineStr">
        <is>
          <t>Motif</t>
        </is>
      </c>
      <c r="B4" s="10" t="inlineStr">
        <is>
          <t>Reçues</t>
        </is>
      </c>
      <c r="C4" s="10" t="inlineStr">
        <is>
          <t>Closes</t>
        </is>
      </c>
      <c r="D4" s="10" t="inlineStr">
        <is>
          <t>Délai médian de traitement (jours)</t>
        </is>
      </c>
      <c r="E4" s="10" t="inlineStr">
        <is>
          <t>Closes au premier contact</t>
        </is>
      </c>
      <c r="F4" s="10" t="inlineStr">
        <is>
          <t>Escaladées à l'ARCEP</t>
        </is>
      </c>
    </row>
    <row r="5">
      <c r="A5" s="5" t="inlineStr">
        <is>
          <t>Transaction échouée non remboursée</t>
        </is>
      </c>
      <c r="B5" s="11" t="n">
        <v>1240</v>
      </c>
      <c r="C5" s="11" t="n">
        <v>1180</v>
      </c>
      <c r="D5" s="18" t="n">
        <v>3.5</v>
      </c>
      <c r="E5" s="11" t="n">
        <v>890</v>
      </c>
      <c r="F5" s="11" t="n">
        <v>12</v>
      </c>
    </row>
    <row r="6">
      <c r="A6" s="5" t="inlineStr">
        <is>
          <t>Frais contestés</t>
        </is>
      </c>
      <c r="B6" s="12" t="n"/>
      <c r="C6" s="12" t="n"/>
      <c r="D6" s="19" t="n"/>
      <c r="E6" s="12" t="n"/>
      <c r="F6" s="12" t="n"/>
    </row>
    <row r="7">
      <c r="A7" s="5" t="inlineStr">
        <is>
          <t>Accès au compte / fraude alléguée</t>
        </is>
      </c>
      <c r="B7" s="12" t="n"/>
      <c r="C7" s="12" t="n"/>
      <c r="D7" s="19" t="n"/>
      <c r="E7" s="12" t="n"/>
      <c r="F7" s="12" t="n"/>
    </row>
    <row r="8">
      <c r="A8" s="5" t="inlineStr">
        <is>
          <t>Agent / point de service</t>
        </is>
      </c>
      <c r="B8" s="12" t="n"/>
      <c r="C8" s="12" t="n"/>
      <c r="D8" s="19" t="n"/>
      <c r="E8" s="12" t="n"/>
      <c r="F8" s="12" t="n"/>
    </row>
    <row r="9">
      <c r="A9" s="5" t="inlineStr">
        <is>
          <t>Qualité du canal (USSD, application)</t>
        </is>
      </c>
      <c r="B9" s="12" t="n"/>
      <c r="C9" s="12" t="n"/>
      <c r="D9" s="19" t="n"/>
      <c r="E9" s="12" t="n"/>
      <c r="F9" s="12" t="n"/>
    </row>
    <row r="10">
      <c r="A10" s="5" t="inlineStr">
        <is>
          <t>Autre</t>
        </is>
      </c>
      <c r="B10" s="12" t="n"/>
      <c r="C10" s="12" t="n"/>
      <c r="D10" s="19" t="n"/>
      <c r="E10" s="12" t="n"/>
      <c r="F10" s="12" t="n"/>
    </row>
    <row r="11">
      <c r="A11" s="3" t="inlineStr">
        <is>
          <t>TOTAL</t>
        </is>
      </c>
      <c r="B11" s="13">
        <f>SUM(B5:B10)</f>
        <v/>
      </c>
      <c r="C11" s="13">
        <f>SUM(C5:C10)</f>
        <v/>
      </c>
      <c r="E11" s="13">
        <f>SUM(E5:E10)</f>
        <v/>
      </c>
      <c r="F11" s="13">
        <f>SUM(F5:F10)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78" customWidth="1" min="1" max="1"/>
    <col width="16" customWidth="1" min="2" max="2"/>
  </cols>
  <sheetData>
    <row r="1">
      <c r="A1" s="1" t="inlineStr">
        <is>
          <t>Contrôles de cohérence automatiques</t>
        </is>
      </c>
    </row>
    <row r="2">
      <c r="A2" s="2" t="inlineStr">
        <is>
          <t>Tous les contrôles doivent afficher OK avant dépôt. Ne rien saisir dans cette feuille.</t>
        </is>
      </c>
    </row>
    <row r="4">
      <c r="A4" s="10" t="inlineStr">
        <is>
          <t>Contrôle</t>
        </is>
      </c>
      <c r="B4" s="10" t="inlineStr">
        <is>
          <t>Résultat</t>
        </is>
      </c>
    </row>
    <row r="5">
      <c r="A5" s="5" t="inlineStr">
        <is>
          <t>Comptes actifs ≤ comptes enregistrés, pour chaque province (MU_Comptes)</t>
        </is>
      </c>
      <c r="B5" s="20">
        <f>IF(SUMPRODUCT(--(MU_Comptes!C5:C13&gt;MU_Comptes!B5:B13))=0,"OK","À corriger")</f>
        <v/>
      </c>
    </row>
    <row r="6">
      <c r="A6" s="5" t="inlineStr">
        <is>
          <t>Répartition par canal (MU-08) = total des opérations (MU-03)</t>
        </is>
      </c>
      <c r="B6" s="20">
        <f>IF(N(MU_Transactions!B22)=N(MU_Transactions!B13),"OK","À corriger")</f>
        <v/>
      </c>
    </row>
    <row r="7">
      <c r="A7" s="5" t="inlineStr">
        <is>
          <t>Disponibilités déclarées comprises entre 90 % et 100 % (QS_Qualite)</t>
        </is>
      </c>
      <c r="B7" s="20">
        <f>IF(SUMPRODUCT(--(QS_Qualite!B5:B9&gt;1))+SUMPRODUCT(--((QS_Qualite!B5:B9&lt;0.9)*(QS_Qualite!B5:B9&lt;&gt;0)))=0,"OK","À corriger")</f>
        <v/>
      </c>
    </row>
    <row r="8">
      <c r="A8" s="5" t="inlineStr">
        <is>
          <t>Points actifs ≤ points déclarés, pour chaque province (RD_Distribution)</t>
        </is>
      </c>
      <c r="B8" s="20">
        <f>IF(SUMPRODUCT(--(RD_Distribution!C5:C13&gt;RD_Distribution!B5:B13))=0,"OK","À corriger")</f>
        <v/>
      </c>
    </row>
    <row r="9">
      <c r="A9" s="5" t="inlineStr">
        <is>
          <t>Réclamations closes ≤ reçues, pour chaque motif (RC_Reclamations)</t>
        </is>
      </c>
      <c r="B9" s="20">
        <f>IF(SUMPRODUCT(--(RC_Reclamations!C5:C10&gt;RC_Reclamations!B5:B10))=0,"OK","À corriger")</f>
        <v/>
      </c>
    </row>
    <row r="10">
      <c r="A10" s="5" t="inlineStr">
        <is>
          <t>Closes au premier contact ≤ closes, pour chaque motif (RC_Reclamations)</t>
        </is>
      </c>
      <c r="B10" s="20">
        <f>IF(SUMPRODUCT(--(RC_Reclamations!E5:E10&gt;RC_Reclamations!C5:C10))=0,"OK","À corriger")</f>
        <v/>
      </c>
    </row>
    <row r="12">
      <c r="A12" s="3" t="inlineStr">
        <is>
          <t>SYNTHÈSE — le gabarit est-il cohérent ?</t>
        </is>
      </c>
      <c r="B12" s="20">
        <f>IF(COUNTIF(B5:B10,"À corriger")=0,"OK","À corriger")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2026-07-30T06:39:05Z</dcterms:created>
  <dcterms:modified xmlns:dcterms="http://purl.org/dc/terms/" xmlns:xsi="http://www.w3.org/2001/XMLSchema-instance" xsi:type="dcterms:W3CDTF">2026-07-30T06:39:05Z</dcterms:modified>
</cp:coreProperties>
</file>