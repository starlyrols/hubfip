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ntification" sheetId="1" state="visible" r:id="rId3"/>
    <sheet name="SP-A_Reseau" sheetId="2" state="visible" r:id="rId4"/>
    <sheet name="SP-B_Activite" sheetId="3" state="visible" r:id="rId5"/>
    <sheet name="SP-C_Qualite" sheetId="4" state="visible" r:id="rId6"/>
    <sheet name="SP-D_Tarifs" sheetId="5" state="visible" r:id="rId7"/>
    <sheet name="Contrô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4" authorId="0">
      <text>
        <r>
          <rPr>
            <sz val="10"/>
            <rFont val="Arial"/>
            <family val="2"/>
          </rPr>
          <t xml:space="preserve">Raison sociale complète de l'assujetti.</t>
        </r>
      </text>
    </comment>
    <comment ref="B5" authorId="0">
      <text>
        <r>
          <rPr>
            <sz val="10"/>
            <rFont val="Arial"/>
            <family val="2"/>
          </rPr>
          <t xml:space="preserve">Identifiant attribué par l'ARCEP (référentiel des assujettis).</t>
        </r>
      </text>
    </comment>
    <comment ref="B6" authorId="0">
      <text>
        <r>
          <rPr>
            <sz val="10"/>
            <rFont val="Arial"/>
            <family val="2"/>
          </rPr>
          <t xml:space="preserve">Période couverte par la déclaration.</t>
        </r>
      </text>
    </comment>
    <comment ref="B7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8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9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10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A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B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C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D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E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F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G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17" authorId="0">
      <text>
        <r>
          <rPr>
            <sz val="10"/>
            <rFont val="Arial"/>
            <family val="2"/>
          </rPr>
          <t xml:space="preserve">Exemple — à remplacer. La somme des provinces doit égaler le total par service (contrôles n°1 et 2).</t>
        </r>
      </text>
    </comment>
    <comment ref="C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A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  <comment ref="B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  <comment ref="C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  <comment ref="D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  <comment ref="E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  <comment ref="F5" authorId="0">
      <text>
        <r>
          <rPr>
            <sz val="10"/>
            <rFont val="Arial"/>
            <family val="2"/>
          </rPr>
          <t xml:space="preserve">Ligne d'exemple — à remplacer. Frais proportionnels en fraction (0,01 = 1 %).</t>
        </r>
      </text>
    </comment>
  </commentList>
</comments>
</file>

<file path=xl/sharedStrings.xml><?xml version="1.0" encoding="utf-8"?>
<sst xmlns="http://schemas.openxmlformats.org/spreadsheetml/2006/main" count="104" uniqueCount="88">
  <si>
    <t xml:space="preserve">ARCEP Gabon — Module M14 · Gabarit de collecte N0 (POSTE · trimestriel)</t>
  </si>
  <si>
    <t xml:space="preserve">Document opposable — décision ARCEP fixant les gabarits (REF-06). Niveau N0 : données déclarées.</t>
  </si>
  <si>
    <t xml:space="preserve">Opérateur postal</t>
  </si>
  <si>
    <t xml:space="preserve">Exemple SA</t>
  </si>
  <si>
    <t xml:space="preserve">Identifiant ARCEP</t>
  </si>
  <si>
    <t xml:space="preserve">GA-OP-000</t>
  </si>
  <si>
    <t xml:space="preserve">Période déclarée (trimestre, AAAA-Tn)</t>
  </si>
  <si>
    <t xml:space="preserve">2026-T3</t>
  </si>
  <si>
    <t xml:space="preserve">Date de dépôt (AAAA-MM-JJ)</t>
  </si>
  <si>
    <t xml:space="preserve">2026-08-15</t>
  </si>
  <si>
    <t xml:space="preserve">Nom et fonction du déclarant</t>
  </si>
  <si>
    <t xml:space="preserve">A. NDONG — Directeur régulation</t>
  </si>
  <si>
    <t xml:space="preserve">Courriel du déclarant</t>
  </si>
  <si>
    <t xml:space="preserve">declarant@exemple.ga</t>
  </si>
  <si>
    <t xml:space="preserve">Téléphone du déclarant</t>
  </si>
  <si>
    <t xml:space="preserve">+241 06 00 00 00</t>
  </si>
  <si>
    <t xml:space="preserve">Rappels réglementaires :</t>
  </si>
  <si>
    <t xml:space="preserve">• Le dépôt s'effectue sur le portail ARCEP (SSO) accompagné du manifeste signé (hash SHA-256 du fichier) — EX-L2-01.</t>
  </si>
  <si>
    <t xml:space="preserve">• Toute cellule jaune non renseignée doit être justifiée en commentaire ; un lot incomplet peut être rejeté (EX-L2-02).</t>
  </si>
  <si>
    <t xml:space="preserve">• Les valeurs déclarées portent le drapeau « déclaré » et sont recoupées par les mesures indépendantes de l'ARCEP (N3) ;</t>
  </si>
  <si>
    <t xml:space="preserve">• tout écart au-delà des seuils du dictionnaire L4 déclenche la procédure contradictoire (L3.5 / L10).</t>
  </si>
  <si>
    <t xml:space="preserve">• Aucune donnée nominative ne doit figurer dans ce gabarit (loi n°001/2011).</t>
  </si>
  <si>
    <t xml:space="preserve">Légende :</t>
  </si>
  <si>
    <t xml:space="preserve">Cellule JAUNE : à renseigner par le déclarant.</t>
  </si>
  <si>
    <t xml:space="preserve">Cellule ORANGÉE : exemple de format — à remplacer par vos valeurs réelles.</t>
  </si>
  <si>
    <t xml:space="preserve">Cellule BLEUE : calcul automatique — ne pas modifier.</t>
  </si>
  <si>
    <t xml:space="preserve">SP-A — Réseau des points de service financiers postaux (SP-01)</t>
  </si>
  <si>
    <t xml:space="preserve">Une ligne par bureau/point offrant au moins un service financier. Aucune donnée nominative.</t>
  </si>
  <si>
    <t xml:space="preserve">Identifiant point</t>
  </si>
  <si>
    <t xml:space="preserve">Province</t>
  </si>
  <si>
    <t xml:space="preserve">Ville / localité</t>
  </si>
  <si>
    <t xml:space="preserve">Latitude</t>
  </si>
  <si>
    <t xml:space="preserve">Longitude</t>
  </si>
  <si>
    <t xml:space="preserve">Services offerts (liste)</t>
  </si>
  <si>
    <t xml:space="preserve">Statut (ACTIF / INACTIF)</t>
  </si>
  <si>
    <t xml:space="preserve">BP-LBV-012</t>
  </si>
  <si>
    <t xml:space="preserve">Estuaire</t>
  </si>
  <si>
    <t xml:space="preserve">Libreville — Centre</t>
  </si>
  <si>
    <t xml:space="preserve">Mandats ; versements ; retraits ; MM postal</t>
  </si>
  <si>
    <t xml:space="preserve">ACTIF</t>
  </si>
  <si>
    <t xml:space="preserve">… ajouter autant de lignes que de points (ou joindre un CSV au même schéma).</t>
  </si>
  <si>
    <t xml:space="preserve">SP-B — Activité par service (SP-02) et par province</t>
  </si>
  <si>
    <t xml:space="preserve">Volumes et valeurs des opérations abouties sur le trimestre.</t>
  </si>
  <si>
    <t xml:space="preserve">Service</t>
  </si>
  <si>
    <t xml:space="preserve">Nombre d'opérations</t>
  </si>
  <si>
    <t xml:space="preserve">Valeur totale (XAF)</t>
  </si>
  <si>
    <t xml:space="preserve">Mandat national — émission</t>
  </si>
  <si>
    <t xml:space="preserve">Mandat national — paiement</t>
  </si>
  <si>
    <t xml:space="preserve">Mandat international — émission</t>
  </si>
  <si>
    <t xml:space="preserve">Mandat international — paiement</t>
  </si>
  <si>
    <t xml:space="preserve">Versement sur compte</t>
  </si>
  <si>
    <t xml:space="preserve">Retrait</t>
  </si>
  <si>
    <t xml:space="preserve">Mobile money postal</t>
  </si>
  <si>
    <t xml:space="preserve">Autre service financier</t>
  </si>
  <si>
    <t xml:space="preserve">TOTAL</t>
  </si>
  <si>
    <t xml:space="preserve">Répartition par province (tous services confondus)</t>
  </si>
  <si>
    <t xml:space="preserve">Haut-Ogooué</t>
  </si>
  <si>
    <t xml:space="preserve">Moyen-Ogooué</t>
  </si>
  <si>
    <t xml:space="preserve">Ngounié</t>
  </si>
  <si>
    <t xml:space="preserve">Nyanga</t>
  </si>
  <si>
    <t xml:space="preserve">Ogooué-Ivindo</t>
  </si>
  <si>
    <t xml:space="preserve">Ogooué-Lolo</t>
  </si>
  <si>
    <t xml:space="preserve">Ogooué-Maritime</t>
  </si>
  <si>
    <t xml:space="preserve">Woleu-Ntem</t>
  </si>
  <si>
    <t xml:space="preserve">TOTAL (doit égaler le total par service)</t>
  </si>
  <si>
    <t xml:space="preserve">SP-C — Qualité de service (SP-03 / SP-04) et incidents</t>
  </si>
  <si>
    <t xml:space="preserve">Disponibilité du système d'information aux guichets et délais d'exécution des mandats.</t>
  </si>
  <si>
    <t xml:space="preserve">Jours ouvrés du trimestre</t>
  </si>
  <si>
    <t xml:space="preserve">Jours avec indisponibilité SI &gt; 1 h</t>
  </si>
  <si>
    <t xml:space="preserve">Disponibilité SI (%) — calcul</t>
  </si>
  <si>
    <t xml:space="preserve">Délai médian mandat (heures)</t>
  </si>
  <si>
    <t xml:space="preserve">Incidents majeurs</t>
  </si>
  <si>
    <t xml:space="preserve">SP-D — Grille tarifaire des services financiers postaux (CT-01 applicable)</t>
  </si>
  <si>
    <t xml:space="preserve">À déposer à chaque modification. La grille déposée fait foi pour les contrôles sur place et campagnes mystères.</t>
  </si>
  <si>
    <t xml:space="preserve">Palier — montant min (XAF)</t>
  </si>
  <si>
    <t xml:space="preserve">Palier — montant max (XAF)</t>
  </si>
  <si>
    <t xml:space="preserve">Frais fixes (XAF)</t>
  </si>
  <si>
    <t xml:space="preserve">Frais proportionnels (%)</t>
  </si>
  <si>
    <t xml:space="preserve">Date d'application (AAAA-MM-JJ)</t>
  </si>
  <si>
    <t xml:space="preserve">2026-01-01</t>
  </si>
  <si>
    <t xml:space="preserve">Contrôles de cohérence automatiques</t>
  </si>
  <si>
    <t xml:space="preserve">Tous les contrôles doivent afficher OK avant dépôt. Ne rien saisir dans cette feuille.</t>
  </si>
  <si>
    <t xml:space="preserve">Contrôle</t>
  </si>
  <si>
    <t xml:space="preserve">Résultat</t>
  </si>
  <si>
    <t xml:space="preserve">Total par province = total par service (SP-B_Activite, nombre d'opérations)</t>
  </si>
  <si>
    <t xml:space="preserve">Total par province = total par service (SP-B_Activite, valeur XAF)</t>
  </si>
  <si>
    <t xml:space="preserve">Jours d'indisponibilité ≤ jours ouvrés, pour chaque province (SP-C_Qualite)</t>
  </si>
  <si>
    <t xml:space="preserve">SYNTHÈSE — le gabarit est-il cohérent 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</si>
</sst>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 %"/>
    <numFmt numFmtId="167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CCFFFF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 t="s">
        <v>16</v>
      </c>
    </row>
    <row r="13" customFormat="false" ht="23.85" hidden="false" customHeight="true" outlineLevel="0" collapsed="false">
      <c r="A13" s="5" t="s">
        <v>17</v>
      </c>
      <c r="B13" s="5"/>
    </row>
    <row r="14" customFormat="false" ht="23.85" hidden="false" customHeight="true" outlineLevel="0" collapsed="false">
      <c r="A14" s="5" t="s">
        <v>18</v>
      </c>
      <c r="B14" s="5"/>
    </row>
    <row r="15" customFormat="false" ht="23.85" hidden="false" customHeight="true" outlineLevel="0" collapsed="false">
      <c r="A15" s="5" t="s">
        <v>19</v>
      </c>
      <c r="B15" s="5"/>
    </row>
    <row r="16" customFormat="false" ht="15" hidden="false" customHeight="true" outlineLevel="0" collapsed="false">
      <c r="A16" s="5" t="s">
        <v>20</v>
      </c>
      <c r="B16" s="5"/>
    </row>
    <row r="17" customFormat="false" ht="15" hidden="false" customHeight="true" outlineLevel="0" collapsed="false">
      <c r="A17" s="5" t="s">
        <v>21</v>
      </c>
      <c r="B17" s="5"/>
    </row>
    <row r="19" customFormat="false" ht="15" hidden="false" customHeight="false" outlineLevel="0" collapsed="false">
      <c r="A19" s="3" t="s">
        <v>22</v>
      </c>
    </row>
    <row r="20" customFormat="false" ht="15" hidden="false" customHeight="false" outlineLevel="0" collapsed="false">
      <c r="A20" s="6"/>
      <c r="B20" s="5" t="s">
        <v>23</v>
      </c>
    </row>
    <row r="21" customFormat="false" ht="23.85" hidden="false" customHeight="false" outlineLevel="0" collapsed="false">
      <c r="A21" s="7"/>
      <c r="B21" s="5" t="s">
        <v>24</v>
      </c>
    </row>
    <row r="22" customFormat="false" ht="15" hidden="false" customHeight="false" outlineLevel="0" collapsed="false">
      <c r="A22" s="8"/>
      <c r="B22" s="5" t="s">
        <v>25</v>
      </c>
    </row>
  </sheetData>
  <mergeCells count="5">
    <mergeCell ref="A13:B13"/>
    <mergeCell ref="A14:B14"/>
    <mergeCell ref="A15:B15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6.85" hidden="false" customHeight="false" outlineLevel="0" collapsed="false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n">
        <v>0.3901</v>
      </c>
      <c r="E5" s="4" t="n">
        <v>9.4544</v>
      </c>
      <c r="F5" s="4" t="s">
        <v>38</v>
      </c>
      <c r="G5" s="4" t="s">
        <v>39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3" customFormat="false" ht="46.25" hidden="false" customHeight="false" outlineLevel="0" collapsed="false">
      <c r="A13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9" t="s">
        <v>43</v>
      </c>
      <c r="B4" s="9" t="s">
        <v>44</v>
      </c>
      <c r="C4" s="9" t="s">
        <v>45</v>
      </c>
    </row>
    <row r="5" customFormat="false" ht="15" hidden="false" customHeight="false" outlineLevel="0" collapsed="false">
      <c r="A5" s="5" t="s">
        <v>46</v>
      </c>
      <c r="B5" s="10" t="n">
        <v>45200</v>
      </c>
      <c r="C5" s="10" t="n">
        <v>3390000000</v>
      </c>
    </row>
    <row r="6" customFormat="false" ht="15" hidden="false" customHeight="false" outlineLevel="0" collapsed="false">
      <c r="A6" s="5" t="s">
        <v>47</v>
      </c>
      <c r="B6" s="11"/>
      <c r="C6" s="11"/>
    </row>
    <row r="7" customFormat="false" ht="15" hidden="false" customHeight="false" outlineLevel="0" collapsed="false">
      <c r="A7" s="5" t="s">
        <v>48</v>
      </c>
      <c r="B7" s="11"/>
      <c r="C7" s="11"/>
    </row>
    <row r="8" customFormat="false" ht="15" hidden="false" customHeight="false" outlineLevel="0" collapsed="false">
      <c r="A8" s="5" t="s">
        <v>49</v>
      </c>
      <c r="B8" s="11"/>
      <c r="C8" s="11"/>
    </row>
    <row r="9" customFormat="false" ht="15" hidden="false" customHeight="false" outlineLevel="0" collapsed="false">
      <c r="A9" s="5" t="s">
        <v>50</v>
      </c>
      <c r="B9" s="11"/>
      <c r="C9" s="11"/>
    </row>
    <row r="10" customFormat="false" ht="15" hidden="false" customHeight="false" outlineLevel="0" collapsed="false">
      <c r="A10" s="5" t="s">
        <v>51</v>
      </c>
      <c r="B10" s="11"/>
      <c r="C10" s="11"/>
    </row>
    <row r="11" customFormat="false" ht="15" hidden="false" customHeight="false" outlineLevel="0" collapsed="false">
      <c r="A11" s="5" t="s">
        <v>52</v>
      </c>
      <c r="B11" s="11"/>
      <c r="C11" s="11"/>
    </row>
    <row r="12" customFormat="false" ht="15" hidden="false" customHeight="false" outlineLevel="0" collapsed="false">
      <c r="A12" s="5" t="s">
        <v>53</v>
      </c>
      <c r="B12" s="11"/>
      <c r="C12" s="11"/>
    </row>
    <row r="13" customFormat="false" ht="15" hidden="false" customHeight="false" outlineLevel="0" collapsed="false">
      <c r="A13" s="3" t="s">
        <v>54</v>
      </c>
      <c r="B13" s="12" t="n">
        <f aca="false">SUM(B5:B12)</f>
        <v>45200</v>
      </c>
      <c r="C13" s="12" t="n">
        <f aca="false">SUM(C5:C12)</f>
        <v>3390000000</v>
      </c>
    </row>
    <row r="15" customFormat="false" ht="23.85" hidden="false" customHeight="false" outlineLevel="0" collapsed="false">
      <c r="A15" s="3" t="s">
        <v>55</v>
      </c>
    </row>
    <row r="16" customFormat="false" ht="15" hidden="false" customHeight="false" outlineLevel="0" collapsed="false">
      <c r="A16" s="9" t="s">
        <v>29</v>
      </c>
      <c r="B16" s="9" t="s">
        <v>44</v>
      </c>
      <c r="C16" s="9" t="s">
        <v>45</v>
      </c>
    </row>
    <row r="17" customFormat="false" ht="15" hidden="false" customHeight="false" outlineLevel="0" collapsed="false">
      <c r="A17" s="5" t="s">
        <v>36</v>
      </c>
      <c r="B17" s="10" t="n">
        <v>45200</v>
      </c>
      <c r="C17" s="10" t="n">
        <v>3390000000</v>
      </c>
    </row>
    <row r="18" customFormat="false" ht="15" hidden="false" customHeight="false" outlineLevel="0" collapsed="false">
      <c r="A18" s="5" t="s">
        <v>56</v>
      </c>
      <c r="B18" s="11"/>
      <c r="C18" s="11"/>
    </row>
    <row r="19" customFormat="false" ht="15" hidden="false" customHeight="false" outlineLevel="0" collapsed="false">
      <c r="A19" s="5" t="s">
        <v>57</v>
      </c>
      <c r="B19" s="11"/>
      <c r="C19" s="11"/>
    </row>
    <row r="20" customFormat="false" ht="15" hidden="false" customHeight="false" outlineLevel="0" collapsed="false">
      <c r="A20" s="5" t="s">
        <v>58</v>
      </c>
      <c r="B20" s="11"/>
      <c r="C20" s="11"/>
    </row>
    <row r="21" customFormat="false" ht="15" hidden="false" customHeight="false" outlineLevel="0" collapsed="false">
      <c r="A21" s="5" t="s">
        <v>59</v>
      </c>
      <c r="B21" s="11"/>
      <c r="C21" s="11"/>
    </row>
    <row r="22" customFormat="false" ht="15" hidden="false" customHeight="false" outlineLevel="0" collapsed="false">
      <c r="A22" s="5" t="s">
        <v>60</v>
      </c>
      <c r="B22" s="11"/>
      <c r="C22" s="11"/>
    </row>
    <row r="23" customFormat="false" ht="15" hidden="false" customHeight="false" outlineLevel="0" collapsed="false">
      <c r="A23" s="5" t="s">
        <v>61</v>
      </c>
      <c r="B23" s="11"/>
      <c r="C23" s="11"/>
    </row>
    <row r="24" customFormat="false" ht="15" hidden="false" customHeight="false" outlineLevel="0" collapsed="false">
      <c r="A24" s="5" t="s">
        <v>62</v>
      </c>
      <c r="B24" s="11"/>
      <c r="C24" s="11"/>
    </row>
    <row r="25" customFormat="false" ht="15" hidden="false" customHeight="false" outlineLevel="0" collapsed="false">
      <c r="A25" s="5" t="s">
        <v>63</v>
      </c>
      <c r="B25" s="11"/>
      <c r="C25" s="11"/>
    </row>
    <row r="26" customFormat="false" ht="23.85" hidden="false" customHeight="false" outlineLevel="0" collapsed="false">
      <c r="A26" s="3" t="s">
        <v>64</v>
      </c>
      <c r="B26" s="12" t="n">
        <f aca="false">SUM(B17:B25)</f>
        <v>45200</v>
      </c>
      <c r="C26" s="12" t="n">
        <f aca="false">SUM(C17:C25)</f>
        <v>3390000000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6.85" hidden="false" customHeight="false" outlineLevel="0" collapsed="false">
      <c r="A4" s="9" t="s">
        <v>29</v>
      </c>
      <c r="B4" s="9" t="s">
        <v>67</v>
      </c>
      <c r="C4" s="9" t="s">
        <v>68</v>
      </c>
      <c r="D4" s="9" t="s">
        <v>69</v>
      </c>
      <c r="E4" s="9" t="s">
        <v>70</v>
      </c>
      <c r="F4" s="9" t="s">
        <v>71</v>
      </c>
    </row>
    <row r="5" customFormat="false" ht="15" hidden="false" customHeight="false" outlineLevel="0" collapsed="false">
      <c r="A5" s="5" t="s">
        <v>36</v>
      </c>
      <c r="B5" s="10" t="n">
        <v>64</v>
      </c>
      <c r="C5" s="10" t="n">
        <v>3</v>
      </c>
      <c r="D5" s="13" t="n">
        <f aca="false">IF(N(B5)=0,"—",1-C5/B5)</f>
        <v>0.953125</v>
      </c>
      <c r="E5" s="14" t="n">
        <v>6</v>
      </c>
      <c r="F5" s="10" t="n">
        <v>1</v>
      </c>
    </row>
    <row r="6" customFormat="false" ht="15" hidden="false" customHeight="false" outlineLevel="0" collapsed="false">
      <c r="A6" s="5" t="s">
        <v>56</v>
      </c>
      <c r="B6" s="11"/>
      <c r="C6" s="11"/>
      <c r="D6" s="13" t="str">
        <f aca="false">IF(N(B6)=0,"—",1-C6/B6)</f>
        <v>—</v>
      </c>
      <c r="E6" s="15"/>
      <c r="F6" s="11"/>
    </row>
    <row r="7" customFormat="false" ht="15" hidden="false" customHeight="false" outlineLevel="0" collapsed="false">
      <c r="A7" s="5" t="s">
        <v>57</v>
      </c>
      <c r="B7" s="11"/>
      <c r="C7" s="11"/>
      <c r="D7" s="13" t="str">
        <f aca="false">IF(N(B7)=0,"—",1-C7/B7)</f>
        <v>—</v>
      </c>
      <c r="E7" s="15"/>
      <c r="F7" s="11"/>
    </row>
    <row r="8" customFormat="false" ht="15" hidden="false" customHeight="false" outlineLevel="0" collapsed="false">
      <c r="A8" s="5" t="s">
        <v>58</v>
      </c>
      <c r="B8" s="11"/>
      <c r="C8" s="11"/>
      <c r="D8" s="13" t="str">
        <f aca="false">IF(N(B8)=0,"—",1-C8/B8)</f>
        <v>—</v>
      </c>
      <c r="E8" s="15"/>
      <c r="F8" s="11"/>
    </row>
    <row r="9" customFormat="false" ht="15" hidden="false" customHeight="false" outlineLevel="0" collapsed="false">
      <c r="A9" s="5" t="s">
        <v>59</v>
      </c>
      <c r="B9" s="11"/>
      <c r="C9" s="11"/>
      <c r="D9" s="13" t="str">
        <f aca="false">IF(N(B9)=0,"—",1-C9/B9)</f>
        <v>—</v>
      </c>
      <c r="E9" s="15"/>
      <c r="F9" s="11"/>
    </row>
    <row r="10" customFormat="false" ht="15" hidden="false" customHeight="false" outlineLevel="0" collapsed="false">
      <c r="A10" s="5" t="s">
        <v>60</v>
      </c>
      <c r="B10" s="11"/>
      <c r="C10" s="11"/>
      <c r="D10" s="13" t="str">
        <f aca="false">IF(N(B10)=0,"—",1-C10/B10)</f>
        <v>—</v>
      </c>
      <c r="E10" s="15"/>
      <c r="F10" s="11"/>
    </row>
    <row r="11" customFormat="false" ht="15" hidden="false" customHeight="false" outlineLevel="0" collapsed="false">
      <c r="A11" s="5" t="s">
        <v>61</v>
      </c>
      <c r="B11" s="11"/>
      <c r="C11" s="11"/>
      <c r="D11" s="13" t="str">
        <f aca="false">IF(N(B11)=0,"—",1-C11/B11)</f>
        <v>—</v>
      </c>
      <c r="E11" s="15"/>
      <c r="F11" s="11"/>
    </row>
    <row r="12" customFormat="false" ht="15" hidden="false" customHeight="false" outlineLevel="0" collapsed="false">
      <c r="A12" s="5" t="s">
        <v>62</v>
      </c>
      <c r="B12" s="11"/>
      <c r="C12" s="11"/>
      <c r="D12" s="13" t="str">
        <f aca="false">IF(N(B12)=0,"—",1-C12/B12)</f>
        <v>—</v>
      </c>
      <c r="E12" s="15"/>
      <c r="F12" s="11"/>
    </row>
    <row r="13" customFormat="false" ht="15" hidden="false" customHeight="false" outlineLevel="0" collapsed="false">
      <c r="A13" s="5" t="s">
        <v>63</v>
      </c>
      <c r="B13" s="11"/>
      <c r="C13" s="11"/>
      <c r="D13" s="13" t="str">
        <f aca="false">IF(N(B13)=0,"—",1-C13/B13)</f>
        <v>—</v>
      </c>
      <c r="E13" s="15"/>
      <c r="F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26.85" hidden="false" customHeight="false" outlineLevel="0" collapsed="false">
      <c r="A4" s="9" t="s">
        <v>43</v>
      </c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</row>
    <row r="5" customFormat="false" ht="15" hidden="false" customHeight="false" outlineLevel="0" collapsed="false">
      <c r="A5" s="4" t="s">
        <v>46</v>
      </c>
      <c r="B5" s="10" t="n">
        <v>5000</v>
      </c>
      <c r="C5" s="10" t="n">
        <v>50000</v>
      </c>
      <c r="D5" s="10" t="n">
        <v>500</v>
      </c>
      <c r="E5" s="16" t="n">
        <v>0.01</v>
      </c>
      <c r="F5" s="4" t="s">
        <v>79</v>
      </c>
    </row>
    <row r="6" customFormat="false" ht="15" hidden="false" customHeight="false" outlineLevel="0" collapsed="false">
      <c r="A6" s="6"/>
      <c r="B6" s="11"/>
      <c r="C6" s="11"/>
      <c r="D6" s="11"/>
      <c r="E6" s="17"/>
      <c r="F6" s="6"/>
    </row>
    <row r="7" customFormat="false" ht="15" hidden="false" customHeight="false" outlineLevel="0" collapsed="false">
      <c r="A7" s="6"/>
      <c r="B7" s="11"/>
      <c r="C7" s="11"/>
      <c r="D7" s="11"/>
      <c r="E7" s="17"/>
      <c r="F7" s="6"/>
    </row>
    <row r="8" customFormat="false" ht="15" hidden="false" customHeight="false" outlineLevel="0" collapsed="false">
      <c r="A8" s="6"/>
      <c r="B8" s="11"/>
      <c r="C8" s="11"/>
      <c r="D8" s="11"/>
      <c r="E8" s="17"/>
      <c r="F8" s="6"/>
    </row>
    <row r="9" customFormat="false" ht="15" hidden="false" customHeight="false" outlineLevel="0" collapsed="false">
      <c r="A9" s="6"/>
      <c r="B9" s="11"/>
      <c r="C9" s="11"/>
      <c r="D9" s="11"/>
      <c r="E9" s="17"/>
      <c r="F9" s="6"/>
    </row>
    <row r="10" customFormat="false" ht="15" hidden="false" customHeight="false" outlineLevel="0" collapsed="false">
      <c r="A10" s="6"/>
      <c r="B10" s="11"/>
      <c r="C10" s="11"/>
      <c r="D10" s="11"/>
      <c r="E10" s="17"/>
      <c r="F10" s="6"/>
    </row>
    <row r="11" customFormat="false" ht="15" hidden="false" customHeight="false" outlineLevel="0" collapsed="false">
      <c r="A11" s="6"/>
      <c r="B11" s="11"/>
      <c r="C11" s="11"/>
      <c r="D11" s="11"/>
      <c r="E11" s="17"/>
      <c r="F11" s="6"/>
    </row>
    <row r="12" customFormat="false" ht="15" hidden="false" customHeight="false" outlineLevel="0" collapsed="false">
      <c r="A12" s="6"/>
      <c r="B12" s="11"/>
      <c r="C12" s="11"/>
      <c r="D12" s="11"/>
      <c r="E12" s="17"/>
      <c r="F12" s="6"/>
    </row>
    <row r="13" customFormat="false" ht="15" hidden="false" customHeight="false" outlineLevel="0" collapsed="false">
      <c r="A13" s="6"/>
      <c r="B13" s="11"/>
      <c r="C13" s="11"/>
      <c r="D13" s="11"/>
      <c r="E13" s="17"/>
      <c r="F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9" t="s">
        <v>82</v>
      </c>
      <c r="B4" s="9" t="s">
        <v>83</v>
      </c>
    </row>
    <row r="5" customFormat="false" ht="15" hidden="false" customHeight="false" outlineLevel="0" collapsed="false">
      <c r="A5" s="5" t="s">
        <v>84</v>
      </c>
      <c r="B5" s="18" t="str">
        <f aca="false">IF(N('SP-B_Activite'!B26)=N('SP-B_Activite'!B13),"OK","À corriger")</f>
        <v>OK</v>
      </c>
    </row>
    <row r="6" customFormat="false" ht="15" hidden="false" customHeight="false" outlineLevel="0" collapsed="false">
      <c r="A6" s="5" t="s">
        <v>85</v>
      </c>
      <c r="B6" s="18" t="str">
        <f aca="false">IF(N('SP-B_Activite'!C26)=N('SP-B_Activite'!C13),"OK","À corriger")</f>
        <v>OK</v>
      </c>
    </row>
    <row r="7" customFormat="false" ht="15" hidden="false" customHeight="false" outlineLevel="0" collapsed="false">
      <c r="A7" s="5" t="s">
        <v>86</v>
      </c>
      <c r="B7" s="18" t="str">
        <f aca="false">IF(SUMPRODUCT(--('SP-C_Qualite'!C5:C13&gt;'SP-C_Qualite'!B5:B13))=0,"OK","À corriger")</f>
        <v>OK</v>
      </c>
    </row>
    <row r="9" customFormat="false" ht="15" hidden="false" customHeight="false" outlineLevel="0" collapsed="false">
      <c r="A9" s="3" t="s">
        <v>87</v>
      </c>
      <c r="B9" s="18" t="str">
        <f aca="false">IF(COUNTIF(B5:B7,"À corriger")=0,"OK","À corriger")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2026-07-30T06:39:05Z</dcterms:created>
  <dc:creator>openpyxl</dc:creator>
  <dc:description/>
  <dc:language>fr-FR</dc:language>
  <cp:lastModifiedBy/>
  <dcterms:modified xsi:type="dcterms:W3CDTF">2026-07-30T06:39:05Z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