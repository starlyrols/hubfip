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dentification" sheetId="1" state="visible" r:id="rId1"/>
    <sheet xmlns:r="http://schemas.openxmlformats.org/officeDocument/2006/relationships" name="SP-A_Reseau" sheetId="2" state="visible" r:id="rId2"/>
    <sheet xmlns:r="http://schemas.openxmlformats.org/officeDocument/2006/relationships" name="SP-B_Activite" sheetId="3" state="visible" r:id="rId3"/>
    <sheet xmlns:r="http://schemas.openxmlformats.org/officeDocument/2006/relationships" name="SP-C_Qualite" sheetId="4" state="visible" r:id="rId4"/>
    <sheet xmlns:r="http://schemas.openxmlformats.org/officeDocument/2006/relationships" name="SP-D_Tarifs" sheetId="5" state="visible" r:id="rId5"/>
    <sheet xmlns:r="http://schemas.openxmlformats.org/officeDocument/2006/relationships" name="Contrô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DEEAF6"/>
      </patternFill>
    </fill>
    <fill>
      <patternFill patternType="solid">
        <fgColor rgb="002F549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2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4" fillId="3" borderId="1" pivotButton="0" quotePrefix="0" xfId="0"/>
    <xf numFmtId="0" fontId="0" fillId="2" borderId="1" pivotButton="0" quotePrefix="0" xfId="0"/>
    <xf numFmtId="0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3" fontId="4" fillId="2" borderId="1" pivotButton="0" quotePrefix="0" xfId="0"/>
    <xf numFmtId="3" fontId="4" fillId="3" borderId="1" pivotButton="0" quotePrefix="0" xfId="0"/>
    <xf numFmtId="3" fontId="4" fillId="4" borderId="1" pivotButton="0" quotePrefix="0" xfId="0"/>
    <xf numFmtId="10" fontId="4" fillId="4" borderId="1" pivotButton="0" quotePrefix="0" xfId="0"/>
    <xf numFmtId="164" fontId="4" fillId="2" borderId="1" pivotButton="0" quotePrefix="0" xfId="0"/>
    <xf numFmtId="164" fontId="4" fillId="3" borderId="1" pivotButton="0" quotePrefix="0" xfId="0"/>
    <xf numFmtId="10" fontId="4" fillId="2" borderId="1" pivotButton="0" quotePrefix="0" xfId="0"/>
    <xf numFmtId="10" fontId="4" fillId="3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ARCEP — M14</author>
  </authors>
  <commentList>
    <comment ref="B4" authorId="0" shapeId="0">
      <text>
        <t>Raison sociale complète de l'assujetti.</t>
      </text>
    </comment>
    <comment ref="B5" authorId="0" shapeId="0">
      <text>
        <t>Identifiant attribué par l'ARCEP (référentiel des assujettis).</t>
      </text>
    </comment>
    <comment ref="B6" authorId="0" shapeId="0">
      <text>
        <t>Période couverte par la déclaration.</t>
      </text>
    </comment>
    <comment ref="B7" authorId="0" shapeId="0">
      <text>
        <t>Exemple — à remplacer.</t>
      </text>
    </comment>
    <comment ref="B8" authorId="0" shapeId="0">
      <text>
        <t>Exemple — à remplacer.</t>
      </text>
    </comment>
    <comment ref="B9" authorId="0" shapeId="0">
      <text>
        <t>Exemple — à remplacer.</t>
      </text>
    </comment>
    <comment ref="B10" authorId="0" shapeId="0">
      <text>
        <t>Exemple — à remplacer.</t>
      </text>
    </comment>
  </commentList>
</comments>
</file>

<file path=xl/comments/comment2.xml><?xml version="1.0" encoding="utf-8"?>
<comments xmlns="http://schemas.openxmlformats.org/spreadsheetml/2006/main">
  <authors>
    <author>ARCEP — M14</author>
  </authors>
  <commentList>
    <comment ref="A5" authorId="0" shapeId="0">
      <text>
        <t>Ligne d'exemple — à remplacer.</t>
      </text>
    </comment>
    <comment ref="B5" authorId="0" shapeId="0">
      <text>
        <t>Ligne d'exemple — à remplacer.</t>
      </text>
    </comment>
    <comment ref="C5" authorId="0" shapeId="0">
      <text>
        <t>Ligne d'exemple — à remplacer.</t>
      </text>
    </comment>
    <comment ref="D5" authorId="0" shapeId="0">
      <text>
        <t>Ligne d'exemple — à remplacer.</t>
      </text>
    </comment>
    <comment ref="E5" authorId="0" shapeId="0">
      <text>
        <t>Ligne d'exemple — à remplacer.</t>
      </text>
    </comment>
    <comment ref="F5" authorId="0" shapeId="0">
      <text>
        <t>Ligne d'exemple — à remplacer.</t>
      </text>
    </comment>
    <comment ref="G5" authorId="0" shapeId="0">
      <text>
        <t>Ligne d'exemple — à remplacer.</t>
      </text>
    </comment>
  </commentList>
</comments>
</file>

<file path=xl/comments/comment3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à remplacer.</t>
      </text>
    </comment>
    <comment ref="C5" authorId="0" shapeId="0">
      <text>
        <t>Exemple — à remplacer.</t>
      </text>
    </comment>
    <comment ref="B17" authorId="0" shapeId="0">
      <text>
        <t>Exemple — à remplacer. La somme des provinces doit égaler le total par service (contrôles n°1 et 2).</t>
      </text>
    </comment>
  </commentList>
</comments>
</file>

<file path=xl/comments/comment4.xml><?xml version="1.0" encoding="utf-8"?>
<comments xmlns="http://schemas.openxmlformats.org/spreadsheetml/2006/main">
  <authors>
    <author>ARCEP — M14</author>
  </authors>
  <commentList>
    <comment ref="B5" authorId="0" shapeId="0">
      <text>
        <t>Exemple — à remplacer.</t>
      </text>
    </comment>
  </commentList>
</comments>
</file>

<file path=xl/comments/comment5.xml><?xml version="1.0" encoding="utf-8"?>
<comments xmlns="http://schemas.openxmlformats.org/spreadsheetml/2006/main">
  <authors>
    <author>ARCEP — M14</author>
  </authors>
  <commentList>
    <comment ref="A5" authorId="0" shapeId="0">
      <text>
        <t>Ligne d'exemple — à remplacer. Frais proportionnels en fraction (0,01 = 1 %).</t>
      </text>
    </comment>
    <comment ref="B5" authorId="0" shapeId="0">
      <text>
        <t>Ligne d'exemple — à remplacer. Frais proportionnels en fraction (0,01 = 1 %).</t>
      </text>
    </comment>
    <comment ref="C5" authorId="0" shapeId="0">
      <text>
        <t>Ligne d'exemple — à remplacer. Frais proportionnels en fraction (0,01 = 1 %).</t>
      </text>
    </comment>
    <comment ref="D5" authorId="0" shapeId="0">
      <text>
        <t>Ligne d'exemple — à remplacer. Frais proportionnels en fraction (0,01 = 1 %).</t>
      </text>
    </comment>
    <comment ref="E5" authorId="0" shapeId="0">
      <text>
        <t>Ligne d'exemple — à remplacer. Frais proportionnels en fraction (0,01 = 1 %).</t>
      </text>
    </comment>
    <comment ref="F5" authorId="0" shapeId="0">
      <text>
        <t>Ligne d'exemple — à remplacer. Frais proportionnels en fraction (0,01 = 1 %).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</cols>
  <sheetData>
    <row r="1">
      <c r="A1" s="1" t="inlineStr">
        <is>
          <t>ARCEP Gabon — Module M14 · Gabarit de collecte N0 (POSTE · trimestriel)</t>
        </is>
      </c>
    </row>
    <row r="2">
      <c r="A2" s="2" t="inlineStr">
        <is>
          <t>Document opposable — décision ARCEP fixant les gabarits (REF-06). Niveau N0 : données déclarées.</t>
        </is>
      </c>
    </row>
    <row r="4">
      <c r="A4" s="3" t="inlineStr">
        <is>
          <t>Opérateur postal</t>
        </is>
      </c>
      <c r="B4" s="4" t="inlineStr">
        <is>
          <t>Exemple SA</t>
        </is>
      </c>
    </row>
    <row r="5">
      <c r="A5" s="3" t="inlineStr">
        <is>
          <t>Identifiant ARCEP</t>
        </is>
      </c>
      <c r="B5" s="4" t="inlineStr">
        <is>
          <t>GA-OP-000</t>
        </is>
      </c>
    </row>
    <row r="6">
      <c r="A6" s="3" t="inlineStr">
        <is>
          <t>Période déclarée (trimestre, AAAA-Tn)</t>
        </is>
      </c>
      <c r="B6" s="4" t="inlineStr">
        <is>
          <t>2026-T3</t>
        </is>
      </c>
    </row>
    <row r="7">
      <c r="A7" s="3" t="inlineStr">
        <is>
          <t>Date de dépôt (AAAA-MM-JJ)</t>
        </is>
      </c>
      <c r="B7" s="4" t="inlineStr">
        <is>
          <t>2026-08-15</t>
        </is>
      </c>
    </row>
    <row r="8">
      <c r="A8" s="3" t="inlineStr">
        <is>
          <t>Nom et fonction du déclarant</t>
        </is>
      </c>
      <c r="B8" s="4" t="inlineStr">
        <is>
          <t>A. NDONG — Directeur régulation</t>
        </is>
      </c>
    </row>
    <row r="9">
      <c r="A9" s="3" t="inlineStr">
        <is>
          <t>Courriel du déclarant</t>
        </is>
      </c>
      <c r="B9" s="4" t="inlineStr">
        <is>
          <t>declarant@exemple.ga</t>
        </is>
      </c>
    </row>
    <row r="10">
      <c r="A10" s="3" t="inlineStr">
        <is>
          <t>Téléphone du déclarant</t>
        </is>
      </c>
      <c r="B10" s="4" t="inlineStr">
        <is>
          <t>+241 06 00 00 00</t>
        </is>
      </c>
    </row>
    <row r="12">
      <c r="A12" s="3" t="inlineStr">
        <is>
          <t>Rappels réglementaires :</t>
        </is>
      </c>
    </row>
    <row r="13">
      <c r="A13" s="5" t="inlineStr">
        <is>
          <t>• Le dépôt s'effectue sur le portail ARCEP (SSO) accompagné du manifeste signé (hash SHA-256 du fichier) — EX-L2-01.</t>
        </is>
      </c>
      <c r="B13" s="6" t="n"/>
    </row>
    <row r="14">
      <c r="A14" s="5" t="inlineStr">
        <is>
          <t>• Toute cellule jaune non renseignée doit être justifiée en commentaire ; un lot incomplet peut être rejeté (EX-L2-02).</t>
        </is>
      </c>
      <c r="B14" s="6" t="n"/>
    </row>
    <row r="15">
      <c r="A15" s="5" t="inlineStr">
        <is>
          <t>• Les valeurs déclarées portent le drapeau « déclaré » et sont recoupées par les mesures indépendantes de l'ARCEP (N3) ;</t>
        </is>
      </c>
      <c r="B15" s="6" t="n"/>
    </row>
    <row r="16">
      <c r="A16" s="5" t="inlineStr">
        <is>
          <t>• tout écart au-delà des seuils du dictionnaire L4 déclenche la procédure contradictoire (L3.5 / L10).</t>
        </is>
      </c>
      <c r="B16" s="6" t="n"/>
    </row>
    <row r="17">
      <c r="A17" s="5" t="inlineStr">
        <is>
          <t>• Aucune donnée nominative ne doit figurer dans ce gabarit (loi n°001/2011).</t>
        </is>
      </c>
      <c r="B17" s="6" t="n"/>
    </row>
    <row r="19">
      <c r="A19" s="3" t="inlineStr">
        <is>
          <t>Légende :</t>
        </is>
      </c>
    </row>
    <row r="20">
      <c r="A20" s="7" t="n"/>
      <c r="B20" s="5" t="inlineStr">
        <is>
          <t>Cellule JAUNE : à renseigner par le déclarant.</t>
        </is>
      </c>
    </row>
    <row r="21">
      <c r="A21" s="8" t="n"/>
      <c r="B21" s="5" t="inlineStr">
        <is>
          <t>Cellule ORANGÉE : exemple de format — à remplacer par vos valeurs réelles.</t>
        </is>
      </c>
    </row>
    <row r="22">
      <c r="A22" s="9" t="n"/>
      <c r="B22" s="5" t="inlineStr">
        <is>
          <t>Cellule BLEUE : calcul automatique — ne pas modifier.</t>
        </is>
      </c>
    </row>
  </sheetData>
  <mergeCells count="5">
    <mergeCell ref="A16:B16"/>
    <mergeCell ref="A15:B15"/>
    <mergeCell ref="A13:B13"/>
    <mergeCell ref="A14:B14"/>
    <mergeCell ref="A17:B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6" customWidth="1" min="4" max="4"/>
    <col width="16" customWidth="1" min="5" max="5"/>
    <col width="40" customWidth="1" min="6" max="6"/>
    <col width="20" customWidth="1" min="7" max="7"/>
  </cols>
  <sheetData>
    <row r="1">
      <c r="A1" s="1" t="inlineStr">
        <is>
          <t>SP-A — Réseau des points de service financiers postaux (SP-01)</t>
        </is>
      </c>
    </row>
    <row r="2">
      <c r="A2" s="2" t="inlineStr">
        <is>
          <t>Une ligne par bureau/point offrant au moins un service financier. Aucune donnée nominative.</t>
        </is>
      </c>
    </row>
    <row r="4">
      <c r="A4" s="10" t="inlineStr">
        <is>
          <t>Identifiant point</t>
        </is>
      </c>
      <c r="B4" s="10" t="inlineStr">
        <is>
          <t>Province</t>
        </is>
      </c>
      <c r="C4" s="10" t="inlineStr">
        <is>
          <t>Ville / localité</t>
        </is>
      </c>
      <c r="D4" s="10" t="inlineStr">
        <is>
          <t>Latitude</t>
        </is>
      </c>
      <c r="E4" s="10" t="inlineStr">
        <is>
          <t>Longitude</t>
        </is>
      </c>
      <c r="F4" s="10" t="inlineStr">
        <is>
          <t>Services offerts (liste)</t>
        </is>
      </c>
      <c r="G4" s="10" t="inlineStr">
        <is>
          <t>Statut (ACTIF / INACTIF)</t>
        </is>
      </c>
    </row>
    <row r="5">
      <c r="A5" s="4" t="inlineStr">
        <is>
          <t>BP-LBV-012</t>
        </is>
      </c>
      <c r="B5" s="4" t="inlineStr">
        <is>
          <t>Estuaire</t>
        </is>
      </c>
      <c r="C5" s="4" t="inlineStr">
        <is>
          <t>Libreville — Centre</t>
        </is>
      </c>
      <c r="D5" s="4" t="n">
        <v>0.3901</v>
      </c>
      <c r="E5" s="4" t="n">
        <v>9.4544</v>
      </c>
      <c r="F5" s="4" t="inlineStr">
        <is>
          <t>Mandats ; versements ; retraits ; MM postal</t>
        </is>
      </c>
      <c r="G5" s="4" t="inlineStr">
        <is>
          <t>ACTIF</t>
        </is>
      </c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3">
      <c r="A13" s="5" t="inlineStr">
        <is>
          <t>… ajouter autant de lignes que de points (ou joindre un CSV au même schéma).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</cols>
  <sheetData>
    <row r="1">
      <c r="A1" s="1" t="inlineStr">
        <is>
          <t>SP-B — Activité par service (SP-02) et par province</t>
        </is>
      </c>
    </row>
    <row r="2">
      <c r="A2" s="2" t="inlineStr">
        <is>
          <t>Volumes et valeurs des opérations abouties sur le trimestre.</t>
        </is>
      </c>
    </row>
    <row r="4">
      <c r="A4" s="10" t="inlineStr">
        <is>
          <t>Service</t>
        </is>
      </c>
      <c r="B4" s="10" t="inlineStr">
        <is>
          <t>Nombre d'opérations</t>
        </is>
      </c>
      <c r="C4" s="10" t="inlineStr">
        <is>
          <t>Valeur totale (XAF)</t>
        </is>
      </c>
    </row>
    <row r="5">
      <c r="A5" s="5" t="inlineStr">
        <is>
          <t>Mandat national — émission</t>
        </is>
      </c>
      <c r="B5" s="11" t="n">
        <v>45200</v>
      </c>
      <c r="C5" s="11" t="n">
        <v>3390000000</v>
      </c>
    </row>
    <row r="6">
      <c r="A6" s="5" t="inlineStr">
        <is>
          <t>Mandat national — paiement</t>
        </is>
      </c>
      <c r="B6" s="12" t="n"/>
      <c r="C6" s="12" t="n"/>
    </row>
    <row r="7">
      <c r="A7" s="5" t="inlineStr">
        <is>
          <t>Mandat international — émission</t>
        </is>
      </c>
      <c r="B7" s="12" t="n"/>
      <c r="C7" s="12" t="n"/>
    </row>
    <row r="8">
      <c r="A8" s="5" t="inlineStr">
        <is>
          <t>Mandat international — paiement</t>
        </is>
      </c>
      <c r="B8" s="12" t="n"/>
      <c r="C8" s="12" t="n"/>
    </row>
    <row r="9">
      <c r="A9" s="5" t="inlineStr">
        <is>
          <t>Versement sur compte</t>
        </is>
      </c>
      <c r="B9" s="12" t="n"/>
      <c r="C9" s="12" t="n"/>
    </row>
    <row r="10">
      <c r="A10" s="5" t="inlineStr">
        <is>
          <t>Retrait</t>
        </is>
      </c>
      <c r="B10" s="12" t="n"/>
      <c r="C10" s="12" t="n"/>
    </row>
    <row r="11">
      <c r="A11" s="5" t="inlineStr">
        <is>
          <t>Mobile money postal</t>
        </is>
      </c>
      <c r="B11" s="12" t="n"/>
      <c r="C11" s="12" t="n"/>
    </row>
    <row r="12">
      <c r="A12" s="5" t="inlineStr">
        <is>
          <t>Autre service financier</t>
        </is>
      </c>
      <c r="B12" s="12" t="n"/>
      <c r="C12" s="12" t="n"/>
    </row>
    <row r="13">
      <c r="A13" s="3" t="inlineStr">
        <is>
          <t>TOTAL</t>
        </is>
      </c>
      <c r="B13" s="13">
        <f>SUM(B5:B12)</f>
        <v/>
      </c>
      <c r="C13" s="13">
        <f>SUM(C5:C12)</f>
        <v/>
      </c>
    </row>
    <row r="15">
      <c r="A15" s="3" t="inlineStr">
        <is>
          <t>Répartition par province (tous services confondus)</t>
        </is>
      </c>
    </row>
    <row r="16">
      <c r="A16" s="10" t="inlineStr">
        <is>
          <t>Province</t>
        </is>
      </c>
      <c r="B16" s="10" t="inlineStr">
        <is>
          <t>Nombre d'opérations</t>
        </is>
      </c>
      <c r="C16" s="10" t="inlineStr">
        <is>
          <t>Valeur totale (XAF)</t>
        </is>
      </c>
    </row>
    <row r="17">
      <c r="A17" s="5" t="inlineStr">
        <is>
          <t>Estuaire</t>
        </is>
      </c>
      <c r="B17" s="11" t="n">
        <v>45200</v>
      </c>
      <c r="C17" s="11" t="n">
        <v>3390000000</v>
      </c>
    </row>
    <row r="18">
      <c r="A18" s="5" t="inlineStr">
        <is>
          <t>Haut-Ogooué</t>
        </is>
      </c>
      <c r="B18" s="12" t="n"/>
      <c r="C18" s="12" t="n"/>
    </row>
    <row r="19">
      <c r="A19" s="5" t="inlineStr">
        <is>
          <t>Moyen-Ogooué</t>
        </is>
      </c>
      <c r="B19" s="12" t="n"/>
      <c r="C19" s="12" t="n"/>
    </row>
    <row r="20">
      <c r="A20" s="5" t="inlineStr">
        <is>
          <t>Ngounié</t>
        </is>
      </c>
      <c r="B20" s="12" t="n"/>
      <c r="C20" s="12" t="n"/>
    </row>
    <row r="21">
      <c r="A21" s="5" t="inlineStr">
        <is>
          <t>Nyanga</t>
        </is>
      </c>
      <c r="B21" s="12" t="n"/>
      <c r="C21" s="12" t="n"/>
    </row>
    <row r="22">
      <c r="A22" s="5" t="inlineStr">
        <is>
          <t>Ogooué-Ivindo</t>
        </is>
      </c>
      <c r="B22" s="12" t="n"/>
      <c r="C22" s="12" t="n"/>
    </row>
    <row r="23">
      <c r="A23" s="5" t="inlineStr">
        <is>
          <t>Ogooué-Lolo</t>
        </is>
      </c>
      <c r="B23" s="12" t="n"/>
      <c r="C23" s="12" t="n"/>
    </row>
    <row r="24">
      <c r="A24" s="5" t="inlineStr">
        <is>
          <t>Ogooué-Maritime</t>
        </is>
      </c>
      <c r="B24" s="12" t="n"/>
      <c r="C24" s="12" t="n"/>
    </row>
    <row r="25">
      <c r="A25" s="5" t="inlineStr">
        <is>
          <t>Woleu-Ntem</t>
        </is>
      </c>
      <c r="B25" s="12" t="n"/>
      <c r="C25" s="12" t="n"/>
    </row>
    <row r="26">
      <c r="A26" s="3" t="inlineStr">
        <is>
          <t>TOTAL (doit égaler le total par service)</t>
        </is>
      </c>
      <c r="B26" s="13">
        <f>SUM(B17:B25)</f>
        <v/>
      </c>
      <c r="C26" s="13">
        <f>SUM(C17:C25)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2" customWidth="1" min="4" max="4"/>
    <col width="24" customWidth="1" min="5" max="5"/>
    <col width="18" customWidth="1" min="6" max="6"/>
  </cols>
  <sheetData>
    <row r="1">
      <c r="A1" s="1" t="inlineStr">
        <is>
          <t>SP-C — Qualité de service (SP-03 / SP-04) et incidents</t>
        </is>
      </c>
    </row>
    <row r="2">
      <c r="A2" s="2" t="inlineStr">
        <is>
          <t>Disponibilité du système d'information aux guichets et délais d'exécution des mandats.</t>
        </is>
      </c>
    </row>
    <row r="4">
      <c r="A4" s="10" t="inlineStr">
        <is>
          <t>Province</t>
        </is>
      </c>
      <c r="B4" s="10" t="inlineStr">
        <is>
          <t>Jours ouvrés du trimestre</t>
        </is>
      </c>
      <c r="C4" s="10" t="inlineStr">
        <is>
          <t>Jours avec indisponibilité SI &gt; 1 h</t>
        </is>
      </c>
      <c r="D4" s="10" t="inlineStr">
        <is>
          <t>Disponibilité SI (%) — calcul</t>
        </is>
      </c>
      <c r="E4" s="10" t="inlineStr">
        <is>
          <t>Délai médian mandat (heures)</t>
        </is>
      </c>
      <c r="F4" s="10" t="inlineStr">
        <is>
          <t>Incidents majeurs</t>
        </is>
      </c>
    </row>
    <row r="5">
      <c r="A5" s="5" t="inlineStr">
        <is>
          <t>Estuaire</t>
        </is>
      </c>
      <c r="B5" s="11" t="n">
        <v>64</v>
      </c>
      <c r="C5" s="11" t="n">
        <v>3</v>
      </c>
      <c r="D5" s="14">
        <f>IF(N(B5)=0,"—",1-C5/B5)</f>
        <v/>
      </c>
      <c r="E5" s="15" t="n">
        <v>6</v>
      </c>
      <c r="F5" s="11" t="n">
        <v>1</v>
      </c>
    </row>
    <row r="6">
      <c r="A6" s="5" t="inlineStr">
        <is>
          <t>Haut-Ogooué</t>
        </is>
      </c>
      <c r="B6" s="12" t="n"/>
      <c r="C6" s="12" t="n"/>
      <c r="D6" s="14">
        <f>IF(N(B6)=0,"—",1-C6/B6)</f>
        <v/>
      </c>
      <c r="E6" s="16" t="n"/>
      <c r="F6" s="12" t="n"/>
    </row>
    <row r="7">
      <c r="A7" s="5" t="inlineStr">
        <is>
          <t>Moyen-Ogooué</t>
        </is>
      </c>
      <c r="B7" s="12" t="n"/>
      <c r="C7" s="12" t="n"/>
      <c r="D7" s="14">
        <f>IF(N(B7)=0,"—",1-C7/B7)</f>
        <v/>
      </c>
      <c r="E7" s="16" t="n"/>
      <c r="F7" s="12" t="n"/>
    </row>
    <row r="8">
      <c r="A8" s="5" t="inlineStr">
        <is>
          <t>Ngounié</t>
        </is>
      </c>
      <c r="B8" s="12" t="n"/>
      <c r="C8" s="12" t="n"/>
      <c r="D8" s="14">
        <f>IF(N(B8)=0,"—",1-C8/B8)</f>
        <v/>
      </c>
      <c r="E8" s="16" t="n"/>
      <c r="F8" s="12" t="n"/>
    </row>
    <row r="9">
      <c r="A9" s="5" t="inlineStr">
        <is>
          <t>Nyanga</t>
        </is>
      </c>
      <c r="B9" s="12" t="n"/>
      <c r="C9" s="12" t="n"/>
      <c r="D9" s="14">
        <f>IF(N(B9)=0,"—",1-C9/B9)</f>
        <v/>
      </c>
      <c r="E9" s="16" t="n"/>
      <c r="F9" s="12" t="n"/>
    </row>
    <row r="10">
      <c r="A10" s="5" t="inlineStr">
        <is>
          <t>Ogooué-Ivindo</t>
        </is>
      </c>
      <c r="B10" s="12" t="n"/>
      <c r="C10" s="12" t="n"/>
      <c r="D10" s="14">
        <f>IF(N(B10)=0,"—",1-C10/B10)</f>
        <v/>
      </c>
      <c r="E10" s="16" t="n"/>
      <c r="F10" s="12" t="n"/>
    </row>
    <row r="11">
      <c r="A11" s="5" t="inlineStr">
        <is>
          <t>Ogooué-Lolo</t>
        </is>
      </c>
      <c r="B11" s="12" t="n"/>
      <c r="C11" s="12" t="n"/>
      <c r="D11" s="14">
        <f>IF(N(B11)=0,"—",1-C11/B11)</f>
        <v/>
      </c>
      <c r="E11" s="16" t="n"/>
      <c r="F11" s="12" t="n"/>
    </row>
    <row r="12">
      <c r="A12" s="5" t="inlineStr">
        <is>
          <t>Ogooué-Maritime</t>
        </is>
      </c>
      <c r="B12" s="12" t="n"/>
      <c r="C12" s="12" t="n"/>
      <c r="D12" s="14">
        <f>IF(N(B12)=0,"—",1-C12/B12)</f>
        <v/>
      </c>
      <c r="E12" s="16" t="n"/>
      <c r="F12" s="12" t="n"/>
    </row>
    <row r="13">
      <c r="A13" s="5" t="inlineStr">
        <is>
          <t>Woleu-Ntem</t>
        </is>
      </c>
      <c r="B13" s="12" t="n"/>
      <c r="C13" s="12" t="n"/>
      <c r="D13" s="14">
        <f>IF(N(B13)=0,"—",1-C13/B13)</f>
        <v/>
      </c>
      <c r="E13" s="16" t="n"/>
      <c r="F13" s="1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18" customWidth="1" min="4" max="4"/>
    <col width="20" customWidth="1" min="5" max="5"/>
    <col width="24" customWidth="1" min="6" max="6"/>
  </cols>
  <sheetData>
    <row r="1">
      <c r="A1" s="1" t="inlineStr">
        <is>
          <t>SP-D — Grille tarifaire des services financiers postaux (CT-01 applicable)</t>
        </is>
      </c>
    </row>
    <row r="2">
      <c r="A2" s="2" t="inlineStr">
        <is>
          <t>À déposer à chaque modification. La grille déposée fait foi pour les contrôles sur place et campagnes mystères.</t>
        </is>
      </c>
    </row>
    <row r="4">
      <c r="A4" s="10" t="inlineStr">
        <is>
          <t>Service</t>
        </is>
      </c>
      <c r="B4" s="10" t="inlineStr">
        <is>
          <t>Palier — montant min (XAF)</t>
        </is>
      </c>
      <c r="C4" s="10" t="inlineStr">
        <is>
          <t>Palier — montant max (XAF)</t>
        </is>
      </c>
      <c r="D4" s="10" t="inlineStr">
        <is>
          <t>Frais fixes (XAF)</t>
        </is>
      </c>
      <c r="E4" s="10" t="inlineStr">
        <is>
          <t>Frais proportionnels (%)</t>
        </is>
      </c>
      <c r="F4" s="10" t="inlineStr">
        <is>
          <t>Date d'application (AAAA-MM-JJ)</t>
        </is>
      </c>
    </row>
    <row r="5">
      <c r="A5" s="4" t="inlineStr">
        <is>
          <t>Mandat national — émission</t>
        </is>
      </c>
      <c r="B5" s="11" t="n">
        <v>5000</v>
      </c>
      <c r="C5" s="11" t="n">
        <v>50000</v>
      </c>
      <c r="D5" s="11" t="n">
        <v>500</v>
      </c>
      <c r="E5" s="17" t="n">
        <v>0.01</v>
      </c>
      <c r="F5" s="4" t="inlineStr">
        <is>
          <t>2026-01-01</t>
        </is>
      </c>
    </row>
    <row r="6">
      <c r="A6" s="7" t="n"/>
      <c r="B6" s="12" t="n"/>
      <c r="C6" s="12" t="n"/>
      <c r="D6" s="12" t="n"/>
      <c r="E6" s="18" t="n"/>
      <c r="F6" s="7" t="n"/>
    </row>
    <row r="7">
      <c r="A7" s="7" t="n"/>
      <c r="B7" s="12" t="n"/>
      <c r="C7" s="12" t="n"/>
      <c r="D7" s="12" t="n"/>
      <c r="E7" s="18" t="n"/>
      <c r="F7" s="7" t="n"/>
    </row>
    <row r="8">
      <c r="A8" s="7" t="n"/>
      <c r="B8" s="12" t="n"/>
      <c r="C8" s="12" t="n"/>
      <c r="D8" s="12" t="n"/>
      <c r="E8" s="18" t="n"/>
      <c r="F8" s="7" t="n"/>
    </row>
    <row r="9">
      <c r="A9" s="7" t="n"/>
      <c r="B9" s="12" t="n"/>
      <c r="C9" s="12" t="n"/>
      <c r="D9" s="12" t="n"/>
      <c r="E9" s="18" t="n"/>
      <c r="F9" s="7" t="n"/>
    </row>
    <row r="10">
      <c r="A10" s="7" t="n"/>
      <c r="B10" s="12" t="n"/>
      <c r="C10" s="12" t="n"/>
      <c r="D10" s="12" t="n"/>
      <c r="E10" s="18" t="n"/>
      <c r="F10" s="7" t="n"/>
    </row>
    <row r="11">
      <c r="A11" s="7" t="n"/>
      <c r="B11" s="12" t="n"/>
      <c r="C11" s="12" t="n"/>
      <c r="D11" s="12" t="n"/>
      <c r="E11" s="18" t="n"/>
      <c r="F11" s="7" t="n"/>
    </row>
    <row r="12">
      <c r="A12" s="7" t="n"/>
      <c r="B12" s="12" t="n"/>
      <c r="C12" s="12" t="n"/>
      <c r="D12" s="12" t="n"/>
      <c r="E12" s="18" t="n"/>
      <c r="F12" s="7" t="n"/>
    </row>
    <row r="13">
      <c r="A13" s="7" t="n"/>
      <c r="B13" s="12" t="n"/>
      <c r="C13" s="12" t="n"/>
      <c r="D13" s="12" t="n"/>
      <c r="E13" s="18" t="n"/>
      <c r="F13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78" customWidth="1" min="1" max="1"/>
    <col width="16" customWidth="1" min="2" max="2"/>
  </cols>
  <sheetData>
    <row r="1">
      <c r="A1" s="1" t="inlineStr">
        <is>
          <t>Contrôles de cohérence automatiques</t>
        </is>
      </c>
    </row>
    <row r="2">
      <c r="A2" s="2" t="inlineStr">
        <is>
          <t>Tous les contrôles doivent afficher OK avant dépôt. Ne rien saisir dans cette feuille.</t>
        </is>
      </c>
    </row>
    <row r="4">
      <c r="A4" s="10" t="inlineStr">
        <is>
          <t>Contrôle</t>
        </is>
      </c>
      <c r="B4" s="10" t="inlineStr">
        <is>
          <t>Résultat</t>
        </is>
      </c>
    </row>
    <row r="5">
      <c r="A5" s="5" t="inlineStr">
        <is>
          <t>Total par province = total par service (SP-B_Activite, nombre d'opérations)</t>
        </is>
      </c>
      <c r="B5" s="19">
        <f>IF(N('SP-B_Activite'!B26)=N('SP-B_Activite'!B13),"OK","À corriger")</f>
        <v/>
      </c>
    </row>
    <row r="6">
      <c r="A6" s="5" t="inlineStr">
        <is>
          <t>Total par province = total par service (SP-B_Activite, valeur XAF)</t>
        </is>
      </c>
      <c r="B6" s="19">
        <f>IF(N('SP-B_Activite'!C26)=N('SP-B_Activite'!C13),"OK","À corriger")</f>
        <v/>
      </c>
    </row>
    <row r="7">
      <c r="A7" s="5" t="inlineStr">
        <is>
          <t>Jours d'indisponibilité ≤ jours ouvrés, pour chaque province (SP-C_Qualite)</t>
        </is>
      </c>
      <c r="B7" s="19">
        <f>IF(SUMPRODUCT(--('SP-C_Qualite'!C5:C13&gt;'SP-C_Qualite'!B5:B13))=0,"OK","À corriger")</f>
        <v/>
      </c>
    </row>
    <row r="9">
      <c r="A9" s="3" t="inlineStr">
        <is>
          <t>SYNTHÈSE — le gabarit est-il cohérent ?</t>
        </is>
      </c>
      <c r="B9" s="19">
        <f>IF(COUNTIF(B5:B7,"À corriger")=0,"OK","À corriger")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2026-07-30T06:39:05Z</dcterms:created>
  <dcterms:modified xmlns:dcterms="http://purl.org/dc/terms/" xmlns:xsi="http://www.w3.org/2001/XMLSchema-instance" xsi:type="dcterms:W3CDTF">2026-07-30T06:39:05Z</dcterms:modified>
</cp:coreProperties>
</file>